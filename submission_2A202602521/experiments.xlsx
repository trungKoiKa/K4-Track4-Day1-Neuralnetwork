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e8f03c98c74b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gend" sheetId="1" r:id="Rb0a4cc1ff3fc486b"/>
    <x:sheet xmlns:r="http://schemas.openxmlformats.org/officeDocument/2006/relationships" name="Experiments" sheetId="2" r:id="Re715375283c4488c"/>
    <x:sheet xmlns:r="http://schemas.openxmlformats.org/officeDocument/2006/relationships" name="Seeds" sheetId="3" r:id="Rb377b05a0f004fa7"/>
    <x:sheet xmlns:r="http://schemas.openxmlformats.org/officeDocument/2006/relationships" name="Summary" sheetId="4" r:id="Rded9f8aa926040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000"/>
    <x:numFmt numFmtId="200" formatCode="0.000000"/>
  </x:numFmts>
  <x:fonts count="10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name val="Arial"/>
    </x:font>
    <x:font>
      <x:sz val="10"/>
      <x:name val="Arial"/>
    </x:font>
    <x:font>
      <x:b/>
      <x:sz val="10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  <x:font>
      <x:sz val="10"/>
      <x:color theme="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1F3864"/>
      </x:patternFill>
    </x:fill>
    <x:fill>
      <x:patternFill patternType="solid">
        <x:fgColor rgb="FF17365D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6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</x:cellStyleXfs>
  <x:cellXfs count="51">
    <x:xf numFmtId="0" fontId="0" fillId="0" borderId="0" xfId="0" applyAlignment="1">
      <x:alignment horizontal="general" vertical="bottom"/>
    </x:xf>
    <x:xf numFmtId="0" fontId="4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0" fillId="2" borderId="1" xfId="0" applyAlignment="1">
      <x:alignment horizontal="general" vertical="bottom"/>
    </x:xf>
    <x:xf numFmtId="0" fontId="7" fillId="0" borderId="1" xfId="0" applyAlignment="1">
      <x:alignment horizontal="general" vertical="bottom"/>
    </x:xf>
    <x:xf numFmtId="0" fontId="0" fillId="3" borderId="1" xfId="0" applyAlignment="1">
      <x:alignment horizontal="general" vertical="bottom"/>
    </x:xf>
    <x:xf numFmtId="0" fontId="8" fillId="4" borderId="1" xfId="0" applyAlignment="1">
      <x:alignment horizontal="center" vertical="center" wrapText="1"/>
    </x:xf>
    <x:xf numFmtId="0" fontId="6" fillId="0" borderId="1" xfId="0" applyAlignment="1">
      <x:alignment horizontal="general" vertical="top" wrapText="1"/>
    </x:xf>
    <x:xf numFmtId="0" fontId="5" fillId="0" borderId="1" xfId="0" applyAlignment="1">
      <x:alignment horizontal="general" vertical="top" wrapText="1"/>
    </x:xf>
    <x:xf numFmtId="0" fontId="8" fillId="4" borderId="0" xfId="0" applyAlignment="1">
      <x:alignment horizontal="center" vertical="center" wrapText="1"/>
    </x:xf>
    <x:xf numFmtId="0" fontId="5" fillId="0" borderId="1" xfId="0" applyAlignment="1">
      <x:alignment horizontal="general" vertical="bottom"/>
    </x:xf>
    <x:xf numFmtId="0" fontId="7" fillId="2" borderId="1" xfId="0" applyAlignment="1">
      <x:alignment horizontal="general" vertical="bottom"/>
    </x:xf>
    <x:xf numFmtId="0" fontId="5" fillId="2" borderId="1" xfId="0" applyAlignment="1">
      <x:alignment horizontal="general" vertical="bottom"/>
    </x:xf>
    <x:xf numFmtId="164" fontId="5" fillId="2" borderId="1" xfId="0" applyAlignment="1">
      <x:alignment horizontal="general" vertical="bottom"/>
    </x:xf>
    <x:xf numFmtId="164" fontId="5" fillId="3" borderId="1" xfId="0" applyAlignment="1">
      <x:alignment horizontal="general" vertical="bottom"/>
    </x:xf>
    <x:xf numFmtId="0" fontId="6" fillId="0" borderId="1" xfId="0" applyAlignment="1">
      <x:alignment horizontal="general" vertical="bottom"/>
    </x:xf>
    <x:xf numFmtId="0" fontId="5" fillId="3" borderId="1" xfId="0" applyAlignment="1">
      <x:alignment horizontal="general" vertical="bottom"/>
    </x:xf>
    <x:xf numFmtId="0" fontId="5" fillId="2" borderId="1" xfId="0" applyAlignment="1">
      <x:alignment horizontal="general" vertical="top" wrapText="1"/>
    </x:xf>
    <x:xf numFmtId="0" fontId="0" fillId="0" borderId="0" xfId="0" applyAlignment="1">
      <x:alignment horizontal="general" vertical="bottom"/>
    </x:xf>
    <x:xf numFmtId="0" fontId="0" fillId="0" borderId="0" xfId="0"/>
    <x:xf numFmtId="0" fontId="4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0" fillId="2" borderId="1" xfId="0" applyAlignment="1">
      <x:alignment horizontal="general" vertical="bottom"/>
    </x:xf>
    <x:xf numFmtId="0" fontId="7" fillId="0" borderId="1" xfId="0" applyAlignment="1">
      <x:alignment horizontal="general" vertical="bottom"/>
    </x:xf>
    <x:xf numFmtId="0" fontId="0" fillId="3" borderId="1" xfId="0" applyAlignment="1">
      <x:alignment horizontal="general" vertical="bottom"/>
    </x:xf>
    <x:xf numFmtId="0" fontId="8" fillId="4" borderId="1" xfId="0" applyAlignment="1">
      <x:alignment horizontal="center" vertical="center" wrapText="1"/>
    </x:xf>
    <x:xf numFmtId="0" fontId="6" fillId="0" borderId="1" xfId="0" applyAlignment="1">
      <x:alignment horizontal="general" vertical="top" wrapText="1"/>
    </x:xf>
    <x:xf numFmtId="0" fontId="5" fillId="0" borderId="1" xfId="0" applyAlignment="1">
      <x:alignment horizontal="general" vertical="top" wrapText="1"/>
    </x:xf>
    <x:xf numFmtId="0" fontId="8" fillId="4" borderId="0" xfId="0" applyAlignment="1">
      <x:alignment horizontal="center" vertical="center" wrapText="1"/>
    </x:xf>
    <x:xf numFmtId="0" fontId="5" fillId="0" borderId="1" xfId="0" applyAlignment="1">
      <x:alignment horizontal="general" vertical="bottom"/>
    </x:xf>
    <x:xf numFmtId="0" fontId="7" fillId="2" borderId="1" xfId="0" applyAlignment="1">
      <x:alignment horizontal="general" vertical="bottom"/>
    </x:xf>
    <x:xf numFmtId="0" fontId="5" fillId="2" borderId="1" xfId="0" applyAlignment="1">
      <x:alignment horizontal="general" vertical="bottom"/>
    </x:xf>
    <x:xf numFmtId="164" fontId="5" fillId="2" borderId="1" xfId="0" applyAlignment="1">
      <x:alignment horizontal="general" vertical="bottom"/>
    </x:xf>
    <x:xf numFmtId="164" fontId="5" fillId="3" borderId="1" xfId="0" applyAlignment="1">
      <x:alignment horizontal="general" vertical="bottom"/>
    </x:xf>
    <x:xf numFmtId="0" fontId="6" fillId="0" borderId="1" xfId="0" applyAlignment="1">
      <x:alignment horizontal="general" vertical="bottom"/>
    </x:xf>
    <x:xf numFmtId="0" fontId="5" fillId="3" borderId="1" xfId="0" applyAlignment="1">
      <x:alignment horizontal="general" vertical="bottom"/>
    </x:xf>
    <x:xf numFmtId="0" fontId="5" fillId="2" borderId="1" xfId="0" applyAlignment="1">
      <x:alignment horizontal="general" vertical="top" wrapText="1"/>
    </x:xf>
    <x:xf numFmtId="0" fontId="1" fillId="2" borderId="1" xfId="0" applyNumberFormat="1" applyFont="1" applyFill="1" applyBorder="1" applyAlignment="1">
      <x:alignment horizontal="general" vertical="top" wrapText="1"/>
    </x:xf>
    <x:xf numFmtId="0" fontId="9" fillId="0" borderId="0" xfId="0" applyNumberFormat="1" applyFont="1" applyFill="1" applyBorder="1" applyAlignment="1">
      <x:alignment horizontal="general" vertical="bottom"/>
    </x:xf>
    <x:xf numFmtId="0" fontId="9" fillId="0" borderId="0" xfId="0" applyNumberFormat="1" applyFont="1" applyFill="1" applyBorder="1" applyAlignment="1">
      <x:alignment horizontal="general" vertical="bottom" wrapText="1"/>
    </x:xf>
    <x:xf numFmtId="200" fontId="9" fillId="0" borderId="0" xfId="0" applyNumberFormat="1" applyFont="1" applyFill="1" applyBorder="1" applyAlignment="1">
      <x:alignment horizontal="general" vertical="bottom"/>
    </x:xf>
    <x:xf numFmtId="0" fontId="9" fillId="5" borderId="0" xfId="0" applyNumberFormat="1" applyFont="1" applyFill="1" applyBorder="1" applyAlignment="1">
      <x:alignment horizontal="general" vertical="bottom" wrapText="1"/>
    </x:xf>
    <x:xf numFmtId="200" fontId="9" fillId="5" borderId="0" xfId="0" applyNumberFormat="1" applyFont="1" applyFill="1" applyBorder="1" applyAlignment="1">
      <x:alignment horizontal="general" vertical="bottom"/>
    </x:xf>
    <x:xf numFmtId="0" fontId="8" fillId="5" borderId="0" xfId="0" applyNumberFormat="1" applyFont="1" applyFill="1" applyBorder="1" applyAlignment="1">
      <x:alignment horizontal="general" vertical="bottom" wrapText="1"/>
    </x:xf>
    <x:xf numFmtId="200" fontId="8" fillId="5" borderId="0" xfId="0" applyNumberFormat="1" applyFont="1" applyFill="1" applyBorder="1" applyAlignment="1">
      <x:alignment horizontal="general" vertical="bottom"/>
    </x:xf>
    <x:xf numFmtId="0" fontId="1" fillId="2" borderId="1" xfId="0" applyNumberFormat="1" applyFont="1" applyFill="1" applyBorder="1" applyAlignment="1">
      <x:alignment horizontal="general" vertical="bottom" wrapText="1"/>
    </x:xf>
    <x:xf numFmtId="0" fontId="7" fillId="2" borderId="1" xfId="0" applyNumberFormat="1" applyFont="1" applyFill="1" applyBorder="1" applyAlignment="1">
      <x:alignment horizontal="general" vertical="bottom" wrapText="1"/>
    </x:xf>
    <x:xf numFmtId="164" fontId="1" fillId="2" borderId="1" xfId="0" applyNumberFormat="1" applyFont="1" applyFill="1" applyBorder="1" applyAlignment="1">
      <x:alignment horizontal="general" vertical="bottom"/>
    </x:xf>
    <x:xf numFmtId="200" fontId="0" fillId="0" borderId="0" xfId="0" applyNumberFormat="1" applyFont="1" applyFill="1" applyBorder="1" applyAlignment="1">
      <x:alignment horizontal="general" vertical="bottom"/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dxfs count="6">
    <x:dxf>
      <x:fill>
        <x:patternFill>
          <x:bgColor rgb="FF1F3864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0000FF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E7E6E6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2CC"/>
      <x:rgbColor rgb="FFE7E6E6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e941fc0f054df8" /><Relationship Type="http://schemas.openxmlformats.org/officeDocument/2006/relationships/theme" Target="/xl/theme/theme1.xml" Id="R30734f70f2f546c0" /><Relationship Type="http://schemas.openxmlformats.org/officeDocument/2006/relationships/sharedStrings" Target="/xl/sharedStrings.xml" Id="R6721a9bf72fd4cfa" /><Relationship Type="http://schemas.openxmlformats.org/officeDocument/2006/relationships/worksheet" Target="/xl/worksheets/sheet1.xml" Id="Rb0a4cc1ff3fc486b" /><Relationship Type="http://schemas.openxmlformats.org/officeDocument/2006/relationships/worksheet" Target="/xl/worksheets/sheet2.xml" Id="Re715375283c4488c" /><Relationship Type="http://schemas.openxmlformats.org/officeDocument/2006/relationships/worksheet" Target="/xl/worksheets/sheet3.xml" Id="Rb377b05a0f004fa7" /><Relationship Type="http://schemas.openxmlformats.org/officeDocument/2006/relationships/worksheet" Target="/xl/worksheets/sheet4.xml" Id="Rded9f8aa9260407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24" style="19" customWidth="1"/>
    <x:col min="2" max="2" width="60" style="19" customWidth="1"/>
    <x:col min="3" max="3" width="52" style="19" customWidth="1"/>
    <x:col min="4" max="12" width="14" style="19" customWidth="1"/>
  </x:cols>
  <x:sheetData>
    <x:row r="1" s="20" customFormat="1" ht="17.350000381469727" customHeight="1">
      <x:c r="A1" s="21" t="inlineStr">
        <x:is>
          <x:t xml:space="preserve">Bảng so sánh thí nghiệm — Lab Day 1</x:t>
        </x:is>
      </x:c>
    </x:row>
    <x:row r="2" s="20" customFormat="1" ht="15" customHeight="1">
      <x:c r="A2" s="22" t="inlineStr">
        <x:is>
          <x:t xml:space="preserve">Lưu file này thành experiments.xlsx. Mỗi lần chạy là một dòng ở sheet Experiments (số dòng tuỳ bạn, có sẵn 60 dòng). Sheet Seeds và Summary tự tổng hợp.</x:t>
        </x:is>
      </x:c>
    </x:row>
    <x:row r="4" s="20" customFormat="1" ht="15" customHeight="1">
      <x:c r="A4" s="23" t="inlineStr">
        <x:is>
          <x:t xml:space="preserve">Quy ước màu</x:t>
        </x:is>
      </x:c>
    </x:row>
    <x:row r="5" s="20" customFormat="1" ht="15" customHeight="1">
      <x:c r="A5" s="24" t="inlineStr">
        <x:is>
          <x:t xml:space="preserve">   </x:t>
        </x:is>
      </x:c>
      <x:c r="B5" s="22" t="inlineStr">
        <x:is>
          <x:t xml:space="preserve">Ô vàng: bạn điền (cấu hình và kết quả đo).</x:t>
        </x:is>
      </x:c>
    </x:row>
    <x:row r="6" s="20" customFormat="1" ht="15" customHeight="1">
      <x:c r="A6" s="25" t="inlineStr">
        <x:is>
          <x:t xml:space="preserve">abc</x:t>
        </x:is>
      </x:c>
      <x:c r="B6" s="22" t="inlineStr">
        <x:is>
          <x:t xml:space="preserve">Chữ xanh dương: giá trị đã điền sẵn cho dòng baseline; bạn có thể sửa.</x:t>
        </x:is>
      </x:c>
    </x:row>
    <x:row r="7" s="20" customFormat="1" ht="15" customHeight="1">
      <x:c r="A7" s="26" t="inlineStr">
        <x:is>
          <x:t xml:space="preserve">   </x:t>
        </x:is>
      </x:c>
      <x:c r="B7" s="22" t="inlineStr">
        <x:is>
          <x:t xml:space="preserve">Ô xám: công thức tự tính. Không sửa.</x:t>
        </x:is>
      </x:c>
    </x:row>
    <x:row r="9" s="20" customFormat="1" ht="15" customHeight="1">
      <x:c r="A9" s="23" t="inlineStr">
        <x:is>
          <x:t xml:space="preserve">Cách dùng</x:t>
        </x:is>
      </x:c>
    </x:row>
    <x:row r="10" s="20" customFormat="1" ht="15" customHeight="1">
      <x:c r="A10" s="22" t="inlineStr">
        <x:is>
          <x:t xml:space="preserve">1. Sheet Experiments: dòng đầu là baseline mẫu. Điền lr và kết quả; thêm dòng cho mỗi thí nghiệm khác.</x:t>
        </x:is>
      </x:c>
    </x:row>
    <x:row r="11" s="20" customFormat="1" ht="15" customHeight="1">
      <x:c r="A11" s="22" t="inlineStr">
        <x:is>
          <x:t xml:space="preserve">2. Mỗi dòng phải có ảnh riêng figures/&lt;exp_id&gt;.png. Điền tên file vào cột figure_file.</x:t>
        </x:is>
      </x:c>
    </x:row>
    <x:row r="12" s="20" customFormat="1" ht="15" customHeight="1">
      <x:c r="A12" s="22" t="inlineStr">
        <x:is>
          <x:t xml:space="preserve">3. Sheet Seeds: nhập exp_id của các lần chạy baseline với seed khác nhau (đã gợi ý base-s1..3). Sheet tự tính trung bình, σ và 2σ.</x:t>
        </x:is>
      </x:c>
    </x:row>
    <x:row r="13" s="20" customFormat="1" ht="15" customHeight="1">
      <x:c r="A13" s="22" t="inlineStr">
        <x:is>
          <x:t xml:space="preserve">4. Cột beyond_noise cho biết chênh lệch val_macro_f1 so với baseline có vượt 2σ không. Chỉ 'Có' mới là bằng chứng.</x:t>
        </x:is>
      </x:c>
    </x:row>
    <x:row r="14" s="20" customFormat="1" ht="15" customHeight="1">
      <x:c r="A14" s="22" t="inlineStr">
        <x:is>
          <x:t xml:space="preserve">5. Sheet Summary: số dòng theo nhóm và số chủ đề (trong 7) đã được thử.</x:t>
        </x:is>
      </x:c>
    </x:row>
    <x:row r="16" s="20" customFormat="1" ht="15" customHeight="1">
      <x:c r="A16" s="23" t="inlineStr">
        <x:is>
          <x:t xml:space="preserve">Từ điển cột (sheet Experiments)</x:t>
        </x:is>
      </x:c>
    </x:row>
    <x:row r="17" s="20" customFormat="1" ht="15" customHeight="1">
      <x:c r="A17" s="27" t="inlineStr">
        <x:is>
          <x:t xml:space="preserve">Cột</x:t>
        </x:is>
      </x:c>
      <x:c r="B17" s="27" t="inlineStr">
        <x:is>
          <x:t xml:space="preserve">Ý nghĩa</x:t>
        </x:is>
      </x:c>
      <x:c r="C17" s="27" t="inlineStr">
        <x:is>
          <x:t xml:space="preserve">Cách điền</x:t>
        </x:is>
      </x:c>
    </x:row>
    <x:row r="18" s="20" customFormat="1" ht="15" customHeight="1">
      <x:c r="A18" s="28" t="inlineStr">
        <x:is>
          <x:t xml:space="preserve">exp_id</x:t>
        </x:is>
      </x:c>
      <x:c r="B18" s="29" t="inlineStr">
        <x:is>
          <x:t xml:space="preserve">Mã thí nghiệm, duy nhất; trùng tên file ảnh</x:t>
        </x:is>
      </x:c>
      <x:c r="C18" s="29" t="inlineStr">
        <x:is>
          <x:t xml:space="preserve">Tự đặt, ví dụ base-s1, opt-adam-lr1e-3, drop-0.3.</x:t>
        </x:is>
      </x:c>
    </x:row>
    <x:row r="19" s="20" customFormat="1" ht="23.850000381469727" customHeight="1">
      <x:c r="A19" s="28" t="inlineStr">
        <x:is>
          <x:t xml:space="preserve">group</x:t>
        </x:is>
      </x:c>
      <x:c r="B19" s="29" t="inlineStr">
        <x:is>
          <x:t xml:space="preserve">Nhóm: baseline | loss | optimizer | hparam | dropout | clipping | amp | init | final | other</x:t>
        </x:is>
      </x:c>
      <x:c r="C19" s="29" t="inlineStr">
        <x:is>
          <x:t xml:space="preserve">Chọn từ danh sách.</x:t>
        </x:is>
      </x:c>
    </x:row>
    <x:row r="20" s="20" customFormat="1" ht="15" customHeight="1">
      <x:c r="A20" s="28" t="inlineStr">
        <x:is>
          <x:t xml:space="preserve">description</x:t>
        </x:is>
      </x:c>
      <x:c r="B20" s="29" t="inlineStr">
        <x:is>
          <x:t xml:space="preserve">Bạn đổi gì so với baseline</x:t>
        </x:is>
      </x:c>
      <x:c r="C20" s="29" t="inlineStr">
        <x:is>
          <x:t xml:space="preserve">Một câu.</x:t>
        </x:is>
      </x:c>
    </x:row>
    <x:row r="21" s="20" customFormat="1" ht="15" customHeight="1">
      <x:c r="A21" s="28" t="inlineStr">
        <x:is>
          <x:t xml:space="preserve">loss</x:t>
        </x:is>
      </x:c>
      <x:c r="B21" s="29" t="inlineStr">
        <x:is>
          <x:t xml:space="preserve">Hàm mất mát: CE | MSE</x:t>
        </x:is>
      </x:c>
      <x:c r="C21" s="29" t="inlineStr">
        <x:is>
          <x:t xml:space="preserve">Chọn từ danh sách.</x:t>
        </x:is>
      </x:c>
    </x:row>
    <x:row r="22" s="20" customFormat="1" ht="15" customHeight="1">
      <x:c r="A22" s="28" t="inlineStr">
        <x:is>
          <x:t xml:space="preserve">optimizer</x:t>
        </x:is>
      </x:c>
      <x:c r="B22" s="29" t="inlineStr">
        <x:is>
          <x:t xml:space="preserve">SGD | SGD+momentum | Adam | AdamW</x:t>
        </x:is>
      </x:c>
      <x:c r="C22" s="29" t="inlineStr">
        <x:is>
          <x:t xml:space="preserve">Chọn từ danh sách.</x:t>
        </x:is>
      </x:c>
    </x:row>
    <x:row r="23" s="20" customFormat="1" ht="15" customHeight="1">
      <x:c r="A23" s="28" t="inlineStr">
        <x:is>
          <x:t xml:space="preserve">lr</x:t>
        </x:is>
      </x:c>
      <x:c r="B23" s="29" t="inlineStr">
        <x:is>
          <x:t xml:space="preserve">Tốc độ học η</x:t>
        </x:is>
      </x:c>
      <x:c r="C23" s="29" t="inlineStr">
        <x:is>
          <x:t xml:space="preserve">Ghi số, ví dụ 0.05 hoặc 1e-3.</x:t>
        </x:is>
      </x:c>
    </x:row>
    <x:row r="24" s="20" customFormat="1" ht="15" customHeight="1">
      <x:c r="A24" s="28" t="inlineStr">
        <x:is>
          <x:t xml:space="preserve">weight_decay</x:t>
        </x:is>
      </x:c>
      <x:c r="B24" s="29" t="inlineStr">
        <x:is>
          <x:t xml:space="preserve">Hệ số suy giảm trọng số λ</x:t>
        </x:is>
      </x:c>
      <x:c r="C24" s="29" t="inlineStr">
        <x:is>
          <x:t xml:space="preserve">0 nếu không dùng.</x:t>
        </x:is>
      </x:c>
    </x:row>
    <x:row r="25" s="20" customFormat="1" ht="15" customHeight="1">
      <x:c r="A25" s="28" t="inlineStr">
        <x:is>
          <x:t xml:space="preserve">batch</x:t>
        </x:is>
      </x:c>
      <x:c r="B25" s="29" t="inlineStr">
        <x:is>
          <x:t xml:space="preserve">Kích thước lô</x:t>
        </x:is>
      </x:c>
      <x:c r="C25" s="29" t="inlineStr">
        <x:is>
          <x:t xml:space="preserve">Số nguyên.</x:t>
        </x:is>
      </x:c>
    </x:row>
    <x:row r="26" s="20" customFormat="1" ht="15" customHeight="1">
      <x:c r="A26" s="28" t="inlineStr">
        <x:is>
          <x:t xml:space="preserve">epochs</x:t>
        </x:is>
      </x:c>
      <x:c r="B26" s="29" t="inlineStr">
        <x:is>
          <x:t xml:space="preserve">Số epoch</x:t>
        </x:is>
      </x:c>
      <x:c r="C26" s="29" t="inlineStr">
        <x:is>
          <x:t xml:space="preserve">Khuyến nghị 20 cho mọi thí nghiệm.</x:t>
        </x:is>
      </x:c>
    </x:row>
    <x:row r="27" s="20" customFormat="1" ht="15" customHeight="1">
      <x:c r="A27" s="28" t="inlineStr">
        <x:is>
          <x:t xml:space="preserve">hidden</x:t>
        </x:is>
      </x:c>
      <x:c r="B27" s="29" t="inlineStr">
        <x:is>
          <x:t xml:space="preserve">Các lớp ẩn, ví dụ 256-128</x:t>
        </x:is>
      </x:c>
      <x:c r="C27" s="29" t="inlineStr">
        <x:is>
          <x:t xml:space="preserve">Chuỗi nối bằng dấu gạch.</x:t>
        </x:is>
      </x:c>
    </x:row>
    <x:row r="28" s="20" customFormat="1" ht="15" customHeight="1">
      <x:c r="A28" s="28" t="inlineStr">
        <x:is>
          <x:t xml:space="preserve">dropout</x:t>
        </x:is>
      </x:c>
      <x:c r="B28" s="29" t="inlineStr">
        <x:is>
          <x:t xml:space="preserve">Xác suất tắt nơ-ron q</x:t>
        </x:is>
      </x:c>
      <x:c r="C28" s="29" t="inlineStr">
        <x:is>
          <x:t xml:space="preserve">0 nếu không dùng.</x:t>
        </x:is>
      </x:c>
    </x:row>
    <x:row r="29" s="20" customFormat="1" ht="15" customHeight="1">
      <x:c r="A29" s="28" t="inlineStr">
        <x:is>
          <x:t xml:space="preserve">clip_norm</x:t>
        </x:is>
      </x:c>
      <x:c r="B29" s="29" t="inlineStr">
        <x:is>
          <x:t xml:space="preserve">Ngưỡng cắt gradient c</x:t>
        </x:is>
      </x:c>
      <x:c r="C29" s="29" t="inlineStr">
        <x:is>
          <x:t xml:space="preserve">'none' nếu không clip, hoặc số.</x:t>
        </x:is>
      </x:c>
    </x:row>
    <x:row r="30" s="20" customFormat="1" ht="15" customHeight="1">
      <x:c r="A30" s="28" t="inlineStr">
        <x:is>
          <x:t xml:space="preserve">precision</x:t>
        </x:is>
      </x:c>
      <x:c r="B30" s="29" t="inlineStr">
        <x:is>
          <x:t xml:space="preserve">fp32 | fp16 | bf16</x:t>
        </x:is>
      </x:c>
      <x:c r="C30" s="29" t="inlineStr">
        <x:is>
          <x:t xml:space="preserve">Chọn từ danh sách.</x:t>
        </x:is>
      </x:c>
    </x:row>
    <x:row r="31" s="20" customFormat="1" ht="15" customHeight="1">
      <x:c r="A31" s="28" t="inlineStr">
        <x:is>
          <x:t xml:space="preserve">init</x:t>
        </x:is>
      </x:c>
      <x:c r="B31" s="29" t="inlineStr">
        <x:is>
          <x:t xml:space="preserve">zeros | normal | xavier | he | default</x:t>
        </x:is>
      </x:c>
      <x:c r="C31" s="29" t="inlineStr">
        <x:is>
          <x:t xml:space="preserve">Chọn từ danh sách; 'default' = mặc định của nn.Linear.</x:t>
        </x:is>
      </x:c>
    </x:row>
    <x:row r="32" s="20" customFormat="1" ht="15" customHeight="1">
      <x:c r="A32" s="28" t="inlineStr">
        <x:is>
          <x:t xml:space="preserve">seed</x:t>
        </x:is>
      </x:c>
      <x:c r="B32" s="29" t="inlineStr">
        <x:is>
          <x:t xml:space="preserve">Seed của lần chạy</x:t>
        </x:is>
      </x:c>
      <x:c r="C32" s="29" t="inlineStr">
        <x:is>
          <x:t xml:space="preserve">Số nguyên.</x:t>
        </x:is>
      </x:c>
    </x:row>
    <x:row r="33" s="20" customFormat="1" ht="15" customHeight="1">
      <x:c r="A33" s="28" t="inlineStr">
        <x:is>
          <x:t xml:space="preserve">step0_loss</x:t>
        </x:is>
      </x:c>
      <x:c r="B33" s="29" t="inlineStr">
        <x:is>
          <x:t xml:space="preserve">Loss trên val ở bước 0 (trước cập nhật đầu tiên)</x:t>
        </x:is>
      </x:c>
      <x:c r="C33" s="29" t="inlineStr">
        <x:is>
          <x:t xml:space="preserve">Kỳ vọng ≈ ln 7 = 1.946 nếu khởi tạo hợp lý.</x:t>
        </x:is>
      </x:c>
    </x:row>
    <x:row r="34" s="20" customFormat="1" ht="15" customHeight="1">
      <x:c r="A34" s="28" t="inlineStr">
        <x:is>
          <x:t xml:space="preserve">best_val_loss</x:t>
        </x:is>
      </x:c>
      <x:c r="B34" s="29" t="inlineStr">
        <x:is>
          <x:t xml:space="preserve">Val loss thấp nhất qua các epoch</x:t>
        </x:is>
      </x:c>
      <x:c r="C34" s="29" t="n"/>
    </x:row>
    <x:row r="35" s="20" customFormat="1" ht="15" customHeight="1">
      <x:c r="A35" s="28" t="inlineStr">
        <x:is>
          <x:t xml:space="preserve">best_epoch</x:t>
        </x:is>
      </x:c>
      <x:c r="B35" s="29" t="inlineStr">
        <x:is>
          <x:t xml:space="preserve">Epoch đạt best_val_loss</x:t>
        </x:is>
      </x:c>
      <x:c r="C35" s="29" t="inlineStr">
        <x:is>
          <x:t xml:space="preserve">Đếm từ 1.</x:t>
        </x:is>
      </x:c>
    </x:row>
    <x:row r="36" s="20" customFormat="1" ht="15" customHeight="1">
      <x:c r="A36" s="28" t="inlineStr">
        <x:is>
          <x:t xml:space="preserve">final_train_loss</x:t>
        </x:is>
      </x:c>
      <x:c r="B36" s="29" t="inlineStr">
        <x:is>
          <x:t xml:space="preserve">Train loss ở epoch cuối (đo ở chế độ eval)</x:t>
        </x:is>
      </x:c>
      <x:c r="C36" s="29" t="n"/>
    </x:row>
    <x:row r="37" s="20" customFormat="1" ht="15" customHeight="1">
      <x:c r="A37" s="28" t="inlineStr">
        <x:is>
          <x:t xml:space="preserve">final_val_loss</x:t>
        </x:is>
      </x:c>
      <x:c r="B37" s="29" t="inlineStr">
        <x:is>
          <x:t xml:space="preserve">Val loss ở epoch cuối</x:t>
        </x:is>
      </x:c>
      <x:c r="C37" s="29" t="n"/>
    </x:row>
    <x:row r="38" s="20" customFormat="1" ht="15" customHeight="1">
      <x:c r="A38" s="28" t="inlineStr">
        <x:is>
          <x:t xml:space="preserve">val_acc</x:t>
        </x:is>
      </x:c>
      <x:c r="B38" s="29" t="inlineStr">
        <x:is>
          <x:t xml:space="preserve">Val accuracy ở best_epoch</x:t>
        </x:is>
      </x:c>
      <x:c r="C38" s="29" t="inlineStr">
        <x:is>
          <x:t xml:space="preserve">Phân số 0–1, ví dụ 0.8123.</x:t>
        </x:is>
      </x:c>
    </x:row>
    <x:row r="39" s="20" customFormat="1" ht="15" customHeight="1">
      <x:c r="A39" s="28" t="inlineStr">
        <x:is>
          <x:t xml:space="preserve">val_macro_f1</x:t>
        </x:is>
      </x:c>
      <x:c r="B39" s="29" t="inlineStr">
        <x:is>
          <x:t xml:space="preserve">Val macro-F1 ở best_epoch</x:t>
        </x:is>
      </x:c>
      <x:c r="C39" s="29" t="inlineStr">
        <x:is>
          <x:t xml:space="preserve">Phân số 0–1.</x:t>
        </x:is>
      </x:c>
    </x:row>
    <x:row r="40" s="20" customFormat="1" ht="15" customHeight="1">
      <x:c r="A40" s="28" t="inlineStr">
        <x:is>
          <x:t xml:space="preserve">time_per_epoch_s</x:t>
        </x:is>
      </x:c>
      <x:c r="B40" s="29" t="inlineStr">
        <x:is>
          <x:t xml:space="preserve">Thời gian trung bình mỗi epoch (giây)</x:t>
        </x:is>
      </x:c>
      <x:c r="C40" s="29" t="inlineStr">
        <x:is>
          <x:t xml:space="preserve">Có torch.cuda.synchronize().</x:t>
        </x:is>
      </x:c>
    </x:row>
    <x:row r="41" s="20" customFormat="1" ht="15" customHeight="1">
      <x:c r="A41" s="28" t="inlineStr">
        <x:is>
          <x:t xml:space="preserve">peak_mem_MB</x:t>
        </x:is>
      </x:c>
      <x:c r="B41" s="29" t="inlineStr">
        <x:is>
          <x:t xml:space="preserve">Bộ nhớ GPU cực đại (MB)</x:t>
        </x:is>
      </x:c>
      <x:c r="C41" s="29" t="inlineStr">
        <x:is>
          <x:t xml:space="preserve">torch.cuda.max_memory_allocated()/2**20.</x:t>
        </x:is>
      </x:c>
    </x:row>
    <x:row r="42" s="20" customFormat="1" ht="15" customHeight="1">
      <x:c r="A42" s="28" t="inlineStr">
        <x:is>
          <x:t xml:space="preserve">diverged</x:t>
        </x:is>
      </x:c>
      <x:c r="B42" s="29" t="inlineStr">
        <x:is>
          <x:t xml:space="preserve">Loss thành NaN/inf? Y | N</x:t>
        </x:is>
      </x:c>
      <x:c r="C42" s="29" t="inlineStr">
        <x:is>
          <x:t xml:space="preserve">Chọn từ danh sách.</x:t>
        </x:is>
      </x:c>
    </x:row>
    <x:row r="43" s="20" customFormat="1" ht="23.850000381469727" customHeight="1">
      <x:c r="A43" s="28" t="inlineStr">
        <x:is>
          <x:t xml:space="preserve">eval_acc</x:t>
        </x:is>
      </x:c>
      <x:c r="B43" s="29" t="inlineStr">
        <x:is>
          <x:t xml:space="preserve">Accuracy trên tập eval</x:t>
        </x:is>
      </x:c>
      <x:c r="C43" s="29" t="inlineStr">
        <x:is>
          <x:t xml:space="preserve">CHỈ điền cho baseline và cấu hình cuối cùng, lấy từ eval_result.json.</x:t>
        </x:is>
      </x:c>
    </x:row>
    <x:row r="44" s="20" customFormat="1" ht="23.850000381469727" customHeight="1">
      <x:c r="A44" s="28" t="inlineStr">
        <x:is>
          <x:t xml:space="preserve">eval_macro_f1</x:t>
        </x:is>
      </x:c>
      <x:c r="B44" s="29" t="inlineStr">
        <x:is>
          <x:t xml:space="preserve">macro-F1 trên tập eval</x:t>
        </x:is>
      </x:c>
      <x:c r="C44" s="29" t="inlineStr">
        <x:is>
          <x:t xml:space="preserve">CHỈ điền cho baseline và cấu hình cuối cùng, lấy từ eval_result.json.</x:t>
        </x:is>
      </x:c>
    </x:row>
    <x:row r="45" s="20" customFormat="1" ht="15" customHeight="1">
      <x:c r="A45" s="28" t="inlineStr">
        <x:is>
          <x:t xml:space="preserve">figure_file</x:t>
        </x:is>
      </x:c>
      <x:c r="B45" s="29" t="inlineStr">
        <x:is>
          <x:t xml:space="preserve">Tên file ảnh</x:t>
        </x:is>
      </x:c>
      <x:c r="C45" s="29" t="inlineStr">
        <x:is>
          <x:t xml:space="preserve">figures/&lt;exp_id&gt;.png</x:t>
        </x:is>
      </x:c>
    </x:row>
    <x:row r="46" s="20" customFormat="1" ht="15" customHeight="1">
      <x:c r="A46" s="28" t="inlineStr">
        <x:is>
          <x:t xml:space="preserve">notes</x:t>
        </x:is>
      </x:c>
      <x:c r="B46" s="29" t="inlineStr">
        <x:is>
          <x:t xml:space="preserve">Ghi chú</x:t>
        </x:is>
      </x:c>
      <x:c r="C46" s="29" t="inlineStr">
        <x:is>
          <x:t xml:space="preserve">Dự đoán trước, quan sát, lý do thiếu số liệu, lỗi gặp phải...</x:t>
        </x:is>
      </x:c>
    </x:row>
    <x:row r="47" s="20" customFormat="1" ht="15" customHeight="1">
      <x:c r="A47" s="28" t="inlineStr">
        <x:is>
          <x:t xml:space="preserve">step0_gap_vs_lnC</x:t>
        </x:is>
      </x:c>
      <x:c r="B47" s="29" t="inlineStr">
        <x:is>
          <x:t xml:space="preserve">step0_loss − ln 7</x:t>
        </x:is>
      </x:c>
      <x:c r="C47" s="29" t="inlineStr">
        <x:is>
          <x:t xml:space="preserve">Tự tính. Gần 0 là tốt.</x:t>
        </x:is>
      </x:c>
    </x:row>
    <x:row r="48" s="20" customFormat="1" ht="15" customHeight="1">
      <x:c r="A48" s="28" t="inlineStr">
        <x:is>
          <x:t xml:space="preserve">gap_val_minus_train</x:t>
        </x:is>
      </x:c>
      <x:c r="B48" s="29" t="inlineStr">
        <x:is>
          <x:t xml:space="preserve">final_val_loss − final_train_loss</x:t>
        </x:is>
      </x:c>
      <x:c r="C48" s="29" t="inlineStr">
        <x:is>
          <x:t xml:space="preserve">Tự tính. Khoảng cách quá khớp.</x:t>
        </x:is>
      </x:c>
    </x:row>
    <x:row r="49" s="20" customFormat="1" ht="15" customHeight="1">
      <x:c r="A49" s="28" t="inlineStr">
        <x:is>
          <x:t xml:space="preserve">delta_val_f1_vs_base</x:t>
        </x:is>
      </x:c>
      <x:c r="B49" s="29" t="inlineStr">
        <x:is>
          <x:t xml:space="preserve">val_macro_f1 − trung bình baseline</x:t>
        </x:is>
      </x:c>
      <x:c r="C49" s="29" t="inlineStr">
        <x:is>
          <x:t xml:space="preserve">Tự tính từ sheet Seeds.</x:t>
        </x:is>
      </x:c>
    </x:row>
    <x:row r="50" s="20" customFormat="1" ht="15" customHeight="1">
      <x:c r="A50" s="28" t="inlineStr">
        <x:is>
          <x:t xml:space="preserve">beyond_noise</x:t>
        </x:is>
      </x:c>
      <x:c r="B50" s="29" t="inlineStr">
        <x:is>
          <x:t xml:space="preserve">|delta| &gt; 2σ_seed ?</x:t>
        </x:is>
      </x:c>
      <x:c r="C50" s="29" t="inlineStr">
        <x:is>
          <x:t xml:space="preserve">Tự tính: Có / Không. Cần ≥ 2 seed baseline trong sheet Seeds.</x:t>
        </x:is>
      </x:c>
    </x:row>
    <x:row r="52" s="20" customFormat="1" ht="15" customHeight="1">
      <x:c r="A52" s="23" t="inlineStr">
        <x:is>
          <x:t xml:space="preserve">Ví dụ một dòng điền xong (SỐ MINH HOẠ ĐỊNH DẠNG, KHÔNG PHẢI KẾT QUẢ THẬT — đừng sao chép)</x:t>
        </x:is>
      </x:c>
    </x:row>
    <x:row r="53" s="20" customFormat="1" ht="23.850000381469727" customHeight="1">
      <x:c r="A53" s="30" t="inlineStr">
        <x:is>
          <x:t xml:space="preserve">exp_id</x:t>
        </x:is>
      </x:c>
      <x:c r="B53" s="30" t="inlineStr">
        <x:is>
          <x:t xml:space="preserve">group</x:t>
        </x:is>
      </x:c>
      <x:c r="C53" s="30" t="inlineStr">
        <x:is>
          <x:t xml:space="preserve">optimizer</x:t>
        </x:is>
      </x:c>
      <x:c r="D53" s="30" t="inlineStr">
        <x:is>
          <x:t xml:space="preserve">lr</x:t>
        </x:is>
      </x:c>
      <x:c r="E53" s="30" t="inlineStr">
        <x:is>
          <x:t xml:space="preserve">step0_loss</x:t>
        </x:is>
      </x:c>
      <x:c r="F53" s="30" t="inlineStr">
        <x:is>
          <x:t xml:space="preserve">best_val_loss</x:t>
        </x:is>
      </x:c>
      <x:c r="G53" s="30" t="inlineStr">
        <x:is>
          <x:t xml:space="preserve">best_epoch</x:t>
        </x:is>
      </x:c>
      <x:c r="H53" s="30" t="inlineStr">
        <x:is>
          <x:t xml:space="preserve">val_acc</x:t>
        </x:is>
      </x:c>
      <x:c r="I53" s="30" t="inlineStr">
        <x:is>
          <x:t xml:space="preserve">val_macro_f1</x:t>
        </x:is>
      </x:c>
      <x:c r="J53" s="30" t="inlineStr">
        <x:is>
          <x:t xml:space="preserve">time_per_epoch_s</x:t>
        </x:is>
      </x:c>
      <x:c r="K53" s="30" t="inlineStr">
        <x:is>
          <x:t xml:space="preserve">diverged</x:t>
        </x:is>
      </x:c>
      <x:c r="L53" s="30" t="inlineStr">
        <x:is>
          <x:t xml:space="preserve">figure_file</x:t>
        </x:is>
      </x:c>
    </x:row>
    <x:row r="54" s="20" customFormat="1" ht="15" customHeight="1">
      <x:c r="A54" s="31" t="inlineStr">
        <x:is>
          <x:t xml:space="preserve">opt-adam-lr1e-3</x:t>
        </x:is>
      </x:c>
      <x:c r="B54" s="31" t="inlineStr">
        <x:is>
          <x:t xml:space="preserve">optimizer</x:t>
        </x:is>
      </x:c>
      <x:c r="C54" s="31" t="inlineStr">
        <x:is>
          <x:t xml:space="preserve">Adam</x:t>
        </x:is>
      </x:c>
      <x:c r="D54" s="31" t="n">
        <x:v>0.001</x:v>
      </x:c>
      <x:c r="E54" s="31" t="n">
        <x:v>1.95</x:v>
      </x:c>
      <x:c r="F54" s="31" t="n">
        <x:v>0.6</x:v>
      </x:c>
      <x:c r="G54" s="31" t="n">
        <x:v>18</x:v>
      </x:c>
      <x:c r="H54" s="31" t="n">
        <x:v>0.75</x:v>
      </x:c>
      <x:c r="I54" s="31" t="n">
        <x:v>0.65</x:v>
      </x:c>
      <x:c r="J54" s="31" t="n">
        <x:v>2.1</x:v>
      </x:c>
      <x:c r="K54" s="31" t="inlineStr">
        <x:is>
          <x:t xml:space="preserve">N</x:t>
        </x:is>
      </x:c>
      <x:c r="L54" s="31" t="inlineStr">
        <x:is>
          <x:t xml:space="preserve">figures/opt-adam-lr1e-3.png</x:t>
        </x:is>
      </x:c>
    </x:row>
    <x:row r="56" s="20" customFormat="1" ht="15" customHeight="1">
      <x:c r="A56" s="22" t="inlineStr">
        <x:is>
          <x:t xml:space="preserve">ln 7 = 1.9459 (loss bước 0 kỳ vọng với 7 lớp). Ngưỡng nhiễu = 2 × độ lệch chuẩn của các seed baseline.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baseColWidth="8" defaultColWidth="8.6796875" defaultRowHeight="15"/>
  <x:cols>
    <x:col min="1" max="1" width="16" style="19" customWidth="1"/>
    <x:col min="2" max="2" width="11" style="19" customWidth="1"/>
    <x:col min="3" max="3" width="55" style="19" hidden="0" customWidth="1"/>
    <x:col min="4" max="4" width="8" style="19" customWidth="1"/>
    <x:col min="5" max="5" width="15" style="19" customWidth="1"/>
    <x:col min="6" max="7" width="9" style="19" customWidth="1"/>
    <x:col min="8" max="9" width="7" style="19" customWidth="1"/>
    <x:col min="10" max="10" width="12" style="19" customWidth="1"/>
    <x:col min="11" max="11" width="8" style="19" customWidth="1"/>
    <x:col min="12" max="12" width="9" style="19" customWidth="1"/>
    <x:col min="13" max="13" width="10" style="19" customWidth="1"/>
    <x:col min="14" max="14" width="9" style="19" customWidth="1"/>
    <x:col min="15" max="15" width="6" style="19" customWidth="1"/>
    <x:col min="16" max="17" width="10" style="19" customWidth="1"/>
    <x:col min="18" max="18" width="8" style="19" customWidth="1"/>
    <x:col min="19" max="20" width="10" style="19" customWidth="1"/>
    <x:col min="21" max="22" width="9" style="19" customWidth="1"/>
    <x:col min="23" max="23" width="10" style="19" customWidth="1"/>
    <x:col min="24" max="27" width="9" style="19" customWidth="1"/>
    <x:col min="28" max="28" width="22" style="19" customWidth="1"/>
    <x:col min="29" max="29" width="72" style="19" hidden="0" customWidth="1"/>
    <x:col min="30" max="32" width="10" style="19" customWidth="1"/>
    <x:col min="33" max="33" width="9" style="19" customWidth="1"/>
  </x:cols>
  <x:sheetData>
    <x:row r="1" s="20" customFormat="1" ht="42" customHeight="1">
      <x:c r="A1" s="27" t="inlineStr">
        <x:is>
          <x:t xml:space="preserve">exp_id</x:t>
        </x:is>
      </x:c>
      <x:c r="B1" s="27" t="inlineStr">
        <x:is>
          <x:t xml:space="preserve">group</x:t>
        </x:is>
      </x:c>
      <x:c r="C1" s="27" t="inlineStr">
        <x:is>
          <x:t xml:space="preserve">description</x:t>
        </x:is>
      </x:c>
      <x:c r="D1" s="27" t="inlineStr">
        <x:is>
          <x:t xml:space="preserve">loss</x:t>
        </x:is>
      </x:c>
      <x:c r="E1" s="27" t="inlineStr">
        <x:is>
          <x:t xml:space="preserve">optimizer</x:t>
        </x:is>
      </x:c>
      <x:c r="F1" s="27" t="inlineStr">
        <x:is>
          <x:t xml:space="preserve">lr</x:t>
        </x:is>
      </x:c>
      <x:c r="G1" s="27" t="inlineStr">
        <x:is>
          <x:t xml:space="preserve">weight_decay</x:t>
        </x:is>
      </x:c>
      <x:c r="H1" s="27" t="inlineStr">
        <x:is>
          <x:t xml:space="preserve">batch</x:t>
        </x:is>
      </x:c>
      <x:c r="I1" s="27" t="inlineStr">
        <x:is>
          <x:t xml:space="preserve">epochs</x:t>
        </x:is>
      </x:c>
      <x:c r="J1" s="27" t="inlineStr">
        <x:is>
          <x:t xml:space="preserve">hidden</x:t>
        </x:is>
      </x:c>
      <x:c r="K1" s="27" t="inlineStr">
        <x:is>
          <x:t xml:space="preserve">dropout</x:t>
        </x:is>
      </x:c>
      <x:c r="L1" s="27" t="inlineStr">
        <x:is>
          <x:t xml:space="preserve">clip_norm</x:t>
        </x:is>
      </x:c>
      <x:c r="M1" s="27" t="inlineStr">
        <x:is>
          <x:t xml:space="preserve">precision</x:t>
        </x:is>
      </x:c>
      <x:c r="N1" s="27" t="inlineStr">
        <x:is>
          <x:t xml:space="preserve">init</x:t>
        </x:is>
      </x:c>
      <x:c r="O1" s="27" t="inlineStr">
        <x:is>
          <x:t xml:space="preserve">seed</x:t>
        </x:is>
      </x:c>
      <x:c r="P1" s="27" t="inlineStr">
        <x:is>
          <x:t xml:space="preserve">step0_loss</x:t>
        </x:is>
      </x:c>
      <x:c r="Q1" s="27" t="inlineStr">
        <x:is>
          <x:t xml:space="preserve">best_val_loss</x:t>
        </x:is>
      </x:c>
      <x:c r="R1" s="27" t="inlineStr">
        <x:is>
          <x:t xml:space="preserve">best_epoch</x:t>
        </x:is>
      </x:c>
      <x:c r="S1" s="27" t="inlineStr">
        <x:is>
          <x:t xml:space="preserve">final_train_loss</x:t>
        </x:is>
      </x:c>
      <x:c r="T1" s="27" t="inlineStr">
        <x:is>
          <x:t xml:space="preserve">final_val_loss</x:t>
        </x:is>
      </x:c>
      <x:c r="U1" s="27" t="inlineStr">
        <x:is>
          <x:t xml:space="preserve">val_acc</x:t>
        </x:is>
      </x:c>
      <x:c r="V1" s="27" t="inlineStr">
        <x:is>
          <x:t xml:space="preserve">val_macro_f1</x:t>
        </x:is>
      </x:c>
      <x:c r="W1" s="27" t="inlineStr">
        <x:is>
          <x:t xml:space="preserve">time_per_epoch_s</x:t>
        </x:is>
      </x:c>
      <x:c r="X1" s="27" t="inlineStr">
        <x:is>
          <x:t xml:space="preserve">peak_mem_MB</x:t>
        </x:is>
      </x:c>
      <x:c r="Y1" s="27" t="inlineStr">
        <x:is>
          <x:t xml:space="preserve">diverged</x:t>
        </x:is>
      </x:c>
      <x:c r="Z1" s="27" t="inlineStr">
        <x:is>
          <x:t xml:space="preserve">eval_acc</x:t>
        </x:is>
      </x:c>
      <x:c r="AA1" s="27" t="inlineStr">
        <x:is>
          <x:t xml:space="preserve">eval_macro_f1</x:t>
        </x:is>
      </x:c>
      <x:c r="AB1" s="27" t="inlineStr">
        <x:is>
          <x:t xml:space="preserve">figure_file</x:t>
        </x:is>
      </x:c>
      <x:c r="AC1" s="27" t="inlineStr">
        <x:is>
          <x:t xml:space="preserve">notes</x:t>
        </x:is>
      </x:c>
      <x:c r="AD1" s="27" t="inlineStr">
        <x:is>
          <x:t xml:space="preserve">step0_gap_vs_lnC</x:t>
        </x:is>
      </x:c>
      <x:c r="AE1" s="27" t="inlineStr">
        <x:is>
          <x:t xml:space="preserve">gap_val_minus_train</x:t>
        </x:is>
      </x:c>
      <x:c r="AF1" s="27" t="inlineStr">
        <x:is>
          <x:t xml:space="preserve">delta_val_f1_vs_base</x:t>
        </x:is>
      </x:c>
      <x:c r="AG1" s="27" t="inlineStr">
        <x:is>
          <x:t xml:space="preserve">beyond_noise</x:t>
        </x:is>
      </x:c>
    </x:row>
    <x:row r="2" s="20" customFormat="1" ht="36" hidden="0" customHeight="1">
      <x:c r="A2" s="32" t="inlineStr">
        <x:is>
          <x:t xml:space="preserve">adam-lr0.0003</x:t>
        </x:is>
      </x:c>
      <x:c r="B2" s="32" t="inlineStr">
        <x:is>
          <x:t xml:space="preserve">optimizer</x:t>
        </x:is>
      </x:c>
      <x:c r="C2" s="48" t="inlineStr">
        <x:is>
          <x:t xml:space="preserve">Adam/AdamW có thể hội tụ nhanh hơn SGD; thử cùng lưới lr cho từng optimizer và so lr tốt nhất.</x:t>
        </x:is>
      </x:c>
      <x:c r="D2" s="32" t="inlineStr">
        <x:is>
          <x:t xml:space="preserve">ce</x:t>
        </x:is>
      </x:c>
      <x:c r="E2" s="32" t="inlineStr">
        <x:is>
          <x:t xml:space="preserve">adam</x:t>
        </x:is>
      </x:c>
      <x:c r="F2" s="33" t="n">
        <x:v>0.0003</x:v>
      </x:c>
      <x:c r="G2" s="32" t="n">
        <x:v>0</x:v>
      </x:c>
      <x:c r="H2" s="32" t="n">
        <x:v>512</x:v>
      </x:c>
      <x:c r="I2" s="32" t="n">
        <x:v>20</x:v>
      </x:c>
      <x:c r="J2" s="32" t="inlineStr">
        <x:is>
          <x:t xml:space="preserve">256-128</x:t>
        </x:is>
      </x:c>
      <x:c r="K2" s="32" t="n">
        <x:v>0</x:v>
      </x:c>
      <x:c r="L2" s="32" t="inlineStr">
        <x:is>
          <x:t xml:space="preserve">none</x:t>
        </x:is>
      </x:c>
      <x:c r="M2" s="32" t="inlineStr">
        <x:is>
          <x:t xml:space="preserve">fp32</x:t>
        </x:is>
      </x:c>
      <x:c r="N2" s="32" t="inlineStr">
        <x:is>
          <x:t xml:space="preserve">he</x:t>
        </x:is>
      </x:c>
      <x:c r="O2" s="32" t="n">
        <x:v>1</x:v>
      </x:c>
      <x:c r="P2" s="34" t="n">
        <x:v>2.269061788393712</x:v>
      </x:c>
      <x:c r="Q2" s="34" t="n">
        <x:v>0.313508086585026</x:v>
      </x:c>
      <x:c r="R2" s="33" t="n">
        <x:v>20</x:v>
      </x:c>
      <x:c r="S2" s="34" t="n">
        <x:v>0.3012505951800551</x:v>
      </x:c>
      <x:c r="T2" s="34" t="n">
        <x:v>0.313508086585026</x:v>
      </x:c>
      <x:c r="U2" s="34" t="n">
        <x:v>0.8726576450592716</x:v>
      </x:c>
      <x:c r="V2" s="34" t="n">
        <x:v>0.7877390598660482</x:v>
      </x:c>
      <x:c r="W2" s="49" t="n">
        <x:v>1.498726749450003</x:v>
      </x:c>
      <x:c r="X2" s="49" t="n">
        <x:v>160.77685546875</x:v>
      </x:c>
      <x:c r="Y2" s="33" t="b">
        <x:v>0</x:v>
      </x:c>
      <x:c r="Z2" s="34" t="n"/>
      <x:c r="AA2" s="34" t="n"/>
      <x:c r="AB2" s="33" t="inlineStr">
        <x:is>
          <x:t xml:space="preserve">figures/adam-lr0.0003.png</x:t>
        </x:is>
      </x:c>
      <x:c r="AC2" s="47" t="str">
        <x:v>Prediction recorded before worker in planned/adam-lr0.0003.json. Independent GPU process. grad_p90=1.108847; mean clip fraction=0.000000. Optimizer/lr tuned jointly; betas=.9/.999, eps=1e-8, wd=0; momentum=.9.</x:v>
      </x:c>
      <x:c r="AD2" s="35" t="n">
        <x:f>IF(P2="","",P2-LN(7))</x:f>
        <x:v>0.32315163933839863</x:v>
      </x:c>
      <x:c r="AE2" s="35" t="n">
        <x:f>IF(OR(T2="",S2=""),"",T2-S2)</x:f>
        <x:v>0.0122574914049709</x:v>
      </x:c>
      <x:c r="AF2" s="35" t="n">
        <x:f>IF(OR(V2="",Seeds!$C$8=""),"",V2-Seeds!$C$8)</x:f>
        <x:v>-0.06577127986220033</x:v>
      </x:c>
      <x:c r="AG2" s="35" t="str">
        <x:f>IF(OR(AF2="",Seeds!$C$10=""),"",IF(ABS(AF2)&gt;Seeds!$C$10,"Có","Không"))</x:f>
        <x:v>Có</x:v>
      </x:c>
    </x:row>
    <x:row r="3" s="20" customFormat="1" ht="36" hidden="0" customHeight="1">
      <x:c r="A3" s="33" t="inlineStr">
        <x:is>
          <x:t xml:space="preserve">adam-lr0.001</x:t>
        </x:is>
      </x:c>
      <x:c r="B3" s="33" t="inlineStr">
        <x:is>
          <x:t xml:space="preserve">optimizer</x:t>
        </x:is>
      </x:c>
      <x:c r="C3" s="47" t="inlineStr">
        <x:is>
          <x:t xml:space="preserve">Adam/AdamW có thể hội tụ nhanh hơn SGD; thử cùng lưới lr cho từng optimizer và so lr tốt nhất.</x:t>
        </x:is>
      </x:c>
      <x:c r="D3" s="33" t="inlineStr">
        <x:is>
          <x:t xml:space="preserve">ce</x:t>
        </x:is>
      </x:c>
      <x:c r="E3" s="33" t="inlineStr">
        <x:is>
          <x:t xml:space="preserve">adam</x:t>
        </x:is>
      </x:c>
      <x:c r="F3" s="33" t="n">
        <x:v>0.001</x:v>
      </x:c>
      <x:c r="G3" s="33" t="n">
        <x:v>0</x:v>
      </x:c>
      <x:c r="H3" s="33" t="n">
        <x:v>512</x:v>
      </x:c>
      <x:c r="I3" s="33" t="n">
        <x:v>20</x:v>
      </x:c>
      <x:c r="J3" s="33" t="inlineStr">
        <x:is>
          <x:t xml:space="preserve">256-128</x:t>
        </x:is>
      </x:c>
      <x:c r="K3" s="33" t="n">
        <x:v>0</x:v>
      </x:c>
      <x:c r="L3" s="33" t="n"/>
      <x:c r="M3" s="33" t="inlineStr">
        <x:is>
          <x:t xml:space="preserve">fp32</x:t>
        </x:is>
      </x:c>
      <x:c r="N3" s="33" t="inlineStr">
        <x:is>
          <x:t xml:space="preserve">he</x:t>
        </x:is>
      </x:c>
      <x:c r="O3" s="33" t="n">
        <x:v>1</x:v>
      </x:c>
      <x:c r="P3" s="34" t="n">
        <x:v>2.269061788393712</x:v>
      </x:c>
      <x:c r="Q3" s="34" t="n">
        <x:v>0.2494106242251538</x:v>
      </x:c>
      <x:c r="R3" s="33" t="n">
        <x:v>19</x:v>
      </x:c>
      <x:c r="S3" s="34" t="n">
        <x:v>0.2329071531352277</x:v>
      </x:c>
      <x:c r="T3" s="34" t="n">
        <x:v>0.2528524937388311</x:v>
      </x:c>
      <x:c r="U3" s="34" t="n">
        <x:v>0.8993352122372582</x:v>
      </x:c>
      <x:c r="V3" s="34" t="n">
        <x:v>0.845555844686964</x:v>
      </x:c>
      <x:c r="W3" s="49" t="n">
        <x:v>1.468359294449993</x:v>
      </x:c>
      <x:c r="X3" s="49" t="n">
        <x:v>160.77685546875</x:v>
      </x:c>
      <x:c r="Y3" s="33" t="b">
        <x:v>0</x:v>
      </x:c>
      <x:c r="Z3" s="34" t="n"/>
      <x:c r="AA3" s="34" t="n"/>
      <x:c r="AB3" s="33" t="inlineStr">
        <x:is>
          <x:t xml:space="preserve">figures/adam-lr0.001.png</x:t>
        </x:is>
      </x:c>
      <x:c r="AC3" s="47" t="str">
        <x:v>Prediction recorded before worker in planned/adam-lr0.001.json. Independent GPU process. grad_p90=1.250242; mean clip fraction=0.000000. Optimizer/lr tuned jointly; betas=.9/.999, eps=1e-8, wd=0; momentum=.9.</x:v>
      </x:c>
      <x:c r="AD3" s="35" t="n">
        <x:f>IF(P3="","",P3-LN(7))</x:f>
        <x:v>0.32315163933839863</x:v>
      </x:c>
      <x:c r="AE3" s="35" t="n">
        <x:f>IF(OR(T3="",S3=""),"",T3-S3)</x:f>
        <x:v>0.019945340603603423</x:v>
      </x:c>
      <x:c r="AF3" s="35" t="n">
        <x:f>IF(OR(V3="",Seeds!$C$8=""),"",V3-Seeds!$C$8)</x:f>
        <x:v>-0.007954495041284537</x:v>
      </x:c>
      <x:c r="AG3" s="35" t="str">
        <x:f>IF(OR(AF3="",Seeds!$C$10=""),"",IF(ABS(AF3)&gt;Seeds!$C$10,"Có","Không"))</x:f>
        <x:v>Không</x:v>
      </x:c>
    </x:row>
    <x:row r="4" s="20" customFormat="1" ht="48" hidden="0" customHeight="1">
      <x:c r="A4" s="33" t="inlineStr">
        <x:is>
          <x:t xml:space="preserve">adam-lr0.003</x:t>
        </x:is>
      </x:c>
      <x:c r="B4" s="33" t="inlineStr">
        <x:is>
          <x:t xml:space="preserve">optimizer</x:t>
        </x:is>
      </x:c>
      <x:c r="C4" s="47" t="inlineStr">
        <x:is>
          <x:t xml:space="preserve">Adam/AdamW có thể hội tụ nhanh hơn SGD; thử cùng lưới lr cho từng optimizer và so lr tốt nhất.</x:t>
        </x:is>
      </x:c>
      <x:c r="D4" s="33" t="inlineStr">
        <x:is>
          <x:t xml:space="preserve">ce</x:t>
        </x:is>
      </x:c>
      <x:c r="E4" s="33" t="inlineStr">
        <x:is>
          <x:t xml:space="preserve">adam</x:t>
        </x:is>
      </x:c>
      <x:c r="F4" s="33" t="n">
        <x:v>0.003</x:v>
      </x:c>
      <x:c r="G4" s="33" t="n">
        <x:v>0</x:v>
      </x:c>
      <x:c r="H4" s="33" t="n">
        <x:v>512</x:v>
      </x:c>
      <x:c r="I4" s="33" t="n">
        <x:v>20</x:v>
      </x:c>
      <x:c r="J4" s="33" t="inlineStr">
        <x:is>
          <x:t xml:space="preserve">256-128</x:t>
        </x:is>
      </x:c>
      <x:c r="K4" s="33" t="n">
        <x:v>0</x:v>
      </x:c>
      <x:c r="L4" s="33" t="n"/>
      <x:c r="M4" s="33" t="inlineStr">
        <x:is>
          <x:t xml:space="preserve">fp32</x:t>
        </x:is>
      </x:c>
      <x:c r="N4" s="33" t="inlineStr">
        <x:is>
          <x:t xml:space="preserve">he</x:t>
        </x:is>
      </x:c>
      <x:c r="O4" s="33" t="n">
        <x:v>1</x:v>
      </x:c>
      <x:c r="P4" s="34" t="n">
        <x:v>2.269061788393712</x:v>
      </x:c>
      <x:c r="Q4" s="34" t="n">
        <x:v>0.2144964847657847</x:v>
      </x:c>
      <x:c r="R4" s="33" t="n">
        <x:v>19</x:v>
      </x:c>
      <x:c r="S4" s="34" t="n">
        <x:v>0.1869444217974311</x:v>
      </x:c>
      <x:c r="T4" s="34" t="n">
        <x:v>0.2159531313607559</x:v>
      </x:c>
      <x:c r="U4" s="34" t="n">
        <x:v>0.9152879671263527</x:v>
      </x:c>
      <x:c r="V4" s="34" t="n">
        <x:v>0.8677466182111557</x:v>
      </x:c>
      <x:c r="W4" s="49" t="n">
        <x:v>1.466127746050006</x:v>
      </x:c>
      <x:c r="X4" s="49" t="n">
        <x:v>160.77685546875</x:v>
      </x:c>
      <x:c r="Y4" s="33" t="b">
        <x:v>0</x:v>
      </x:c>
      <x:c r="Z4" s="34" t="n">
        <x:v>0.9140297582678588</x:v>
      </x:c>
      <x:c r="AA4" s="34" t="n">
        <x:v>0.8699991815477335</x:v>
      </x:c>
      <x:c r="AB4" s="33" t="inlineStr">
        <x:is>
          <x:t xml:space="preserve">figures/adam-lr0.003.png</x:t>
        </x:is>
      </x:c>
      <x:c r="AC4" s="47" t="str">
        <x:v>Prediction recorded before worker in planned/adam-lr0.003.json. Independent GPU process. grad_p90=0.919864; mean clip fraction=0.000000. Optimizer/lr tuned jointly; betas=.9/.999, eps=1e-8, wd=0; momentum=.9. Selected by validation before scoring; per-class eval: Summary, eval_result.json.</x:v>
      </x:c>
      <x:c r="AD4" s="35" t="n">
        <x:f>IF(P4="","",P4-LN(7))</x:f>
        <x:v>0.32315163933839863</x:v>
      </x:c>
      <x:c r="AE4" s="35" t="n">
        <x:f>IF(OR(T4="",S4=""),"",T4-S4)</x:f>
        <x:v>0.029008709563324797</x:v>
      </x:c>
      <x:c r="AF4" s="35" t="n">
        <x:f>IF(OR(V4="",Seeds!$C$8=""),"",V4-Seeds!$C$8)</x:f>
        <x:v>0.014236278482907205</x:v>
      </x:c>
      <x:c r="AG4" s="35" t="str">
        <x:f>IF(OR(AF4="",Seeds!$C$10=""),"",IF(ABS(AF4)&gt;Seeds!$C$10,"Có","Không"))</x:f>
        <x:v>Không</x:v>
      </x:c>
    </x:row>
    <x:row r="5" s="20" customFormat="1" ht="36" hidden="0" customHeight="1">
      <x:c r="A5" s="33" t="inlineStr">
        <x:is>
          <x:t xml:space="preserve">adamw-lr0.0003</x:t>
        </x:is>
      </x:c>
      <x:c r="B5" s="33" t="inlineStr">
        <x:is>
          <x:t xml:space="preserve">optimizer</x:t>
        </x:is>
      </x:c>
      <x:c r="C5" s="47" t="inlineStr">
        <x:is>
          <x:t xml:space="preserve">Adam/AdamW có thể hội tụ nhanh hơn SGD; thử cùng lưới lr cho từng optimizer và so lr tốt nhất.</x:t>
        </x:is>
      </x:c>
      <x:c r="D5" s="33" t="inlineStr">
        <x:is>
          <x:t xml:space="preserve">ce</x:t>
        </x:is>
      </x:c>
      <x:c r="E5" s="33" t="inlineStr">
        <x:is>
          <x:t xml:space="preserve">adamw</x:t>
        </x:is>
      </x:c>
      <x:c r="F5" s="33" t="n">
        <x:v>0.0003</x:v>
      </x:c>
      <x:c r="G5" s="33" t="n">
        <x:v>0</x:v>
      </x:c>
      <x:c r="H5" s="33" t="n">
        <x:v>512</x:v>
      </x:c>
      <x:c r="I5" s="33" t="n">
        <x:v>20</x:v>
      </x:c>
      <x:c r="J5" s="33" t="inlineStr">
        <x:is>
          <x:t xml:space="preserve">256-128</x:t>
        </x:is>
      </x:c>
      <x:c r="K5" s="33" t="n">
        <x:v>0</x:v>
      </x:c>
      <x:c r="L5" s="33" t="n"/>
      <x:c r="M5" s="33" t="inlineStr">
        <x:is>
          <x:t xml:space="preserve">fp32</x:t>
        </x:is>
      </x:c>
      <x:c r="N5" s="33" t="inlineStr">
        <x:is>
          <x:t xml:space="preserve">he</x:t>
        </x:is>
      </x:c>
      <x:c r="O5" s="33" t="n">
        <x:v>1</x:v>
      </x:c>
      <x:c r="P5" s="34" t="n">
        <x:v>2.269061788393712</x:v>
      </x:c>
      <x:c r="Q5" s="34" t="n">
        <x:v>0.313508086585026</x:v>
      </x:c>
      <x:c r="R5" s="33" t="n">
        <x:v>20</x:v>
      </x:c>
      <x:c r="S5" s="34" t="n">
        <x:v>0.3012505951800551</x:v>
      </x:c>
      <x:c r="T5" s="34" t="n">
        <x:v>0.313508086585026</x:v>
      </x:c>
      <x:c r="U5" s="34" t="n">
        <x:v>0.8726576450592716</x:v>
      </x:c>
      <x:c r="V5" s="34" t="n">
        <x:v>0.7877390598660482</x:v>
      </x:c>
      <x:c r="W5" s="49" t="n">
        <x:v>1.507558503849964</x:v>
      </x:c>
      <x:c r="X5" s="49" t="n">
        <x:v>160.77685546875</x:v>
      </x:c>
      <x:c r="Y5" s="33" t="b">
        <x:v>0</x:v>
      </x:c>
      <x:c r="Z5" s="34" t="n"/>
      <x:c r="AA5" s="34" t="n"/>
      <x:c r="AB5" s="33" t="inlineStr">
        <x:is>
          <x:t xml:space="preserve">figures/adamw-lr0.0003.png</x:t>
        </x:is>
      </x:c>
      <x:c r="AC5" s="47" t="str">
        <x:v>Prediction recorded before worker in planned/adamw-lr0.0003.json. Independent GPU process. grad_p90=1.108847; mean clip fraction=0.000000. Optimizer/lr tuned jointly; betas=.9/.999, eps=1e-8, wd=0; momentum=.9.</x:v>
      </x:c>
      <x:c r="AD5" s="35" t="n">
        <x:f>IF(P5="","",P5-LN(7))</x:f>
        <x:v>0.32315163933839863</x:v>
      </x:c>
      <x:c r="AE5" s="35" t="n">
        <x:f>IF(OR(T5="",S5=""),"",T5-S5)</x:f>
        <x:v>0.0122574914049709</x:v>
      </x:c>
      <x:c r="AF5" s="35" t="n">
        <x:f>IF(OR(V5="",Seeds!$C$8=""),"",V5-Seeds!$C$8)</x:f>
        <x:v>-0.06577127986220033</x:v>
      </x:c>
      <x:c r="AG5" s="35" t="str">
        <x:f>IF(OR(AF5="",Seeds!$C$10=""),"",IF(ABS(AF5)&gt;Seeds!$C$10,"Có","Không"))</x:f>
        <x:v>Có</x:v>
      </x:c>
    </x:row>
    <x:row r="6" s="20" customFormat="1" ht="36" hidden="0" customHeight="1">
      <x:c r="A6" s="33" t="inlineStr">
        <x:is>
          <x:t xml:space="preserve">adamw-lr0.001</x:t>
        </x:is>
      </x:c>
      <x:c r="B6" s="33" t="inlineStr">
        <x:is>
          <x:t xml:space="preserve">optimizer</x:t>
        </x:is>
      </x:c>
      <x:c r="C6" s="47" t="inlineStr">
        <x:is>
          <x:t xml:space="preserve">Adam/AdamW có thể hội tụ nhanh hơn SGD; thử cùng lưới lr cho từng optimizer và so lr tốt nhất.</x:t>
        </x:is>
      </x:c>
      <x:c r="D6" s="33" t="inlineStr">
        <x:is>
          <x:t xml:space="preserve">ce</x:t>
        </x:is>
      </x:c>
      <x:c r="E6" s="33" t="inlineStr">
        <x:is>
          <x:t xml:space="preserve">adamw</x:t>
        </x:is>
      </x:c>
      <x:c r="F6" s="33" t="n">
        <x:v>0.001</x:v>
      </x:c>
      <x:c r="G6" s="33" t="n">
        <x:v>0</x:v>
      </x:c>
      <x:c r="H6" s="33" t="n">
        <x:v>512</x:v>
      </x:c>
      <x:c r="I6" s="33" t="n">
        <x:v>20</x:v>
      </x:c>
      <x:c r="J6" s="33" t="inlineStr">
        <x:is>
          <x:t xml:space="preserve">256-128</x:t>
        </x:is>
      </x:c>
      <x:c r="K6" s="33" t="n">
        <x:v>0</x:v>
      </x:c>
      <x:c r="L6" s="33" t="n"/>
      <x:c r="M6" s="33" t="inlineStr">
        <x:is>
          <x:t xml:space="preserve">fp32</x:t>
        </x:is>
      </x:c>
      <x:c r="N6" s="33" t="inlineStr">
        <x:is>
          <x:t xml:space="preserve">he</x:t>
        </x:is>
      </x:c>
      <x:c r="O6" s="33" t="n">
        <x:v>1</x:v>
      </x:c>
      <x:c r="P6" s="34" t="n">
        <x:v>2.269061788393712</x:v>
      </x:c>
      <x:c r="Q6" s="34" t="n">
        <x:v>0.2494106242251538</x:v>
      </x:c>
      <x:c r="R6" s="33" t="n">
        <x:v>19</x:v>
      </x:c>
      <x:c r="S6" s="34" t="n">
        <x:v>0.2329071531352277</x:v>
      </x:c>
      <x:c r="T6" s="34" t="n">
        <x:v>0.2528524937388311</x:v>
      </x:c>
      <x:c r="U6" s="34" t="n">
        <x:v>0.8993352122372582</x:v>
      </x:c>
      <x:c r="V6" s="34" t="n">
        <x:v>0.845555844686964</x:v>
      </x:c>
      <x:c r="W6" s="49" t="n">
        <x:v>1.459386985249955</x:v>
      </x:c>
      <x:c r="X6" s="49" t="n">
        <x:v>160.77685546875</x:v>
      </x:c>
      <x:c r="Y6" s="33" t="b">
        <x:v>0</x:v>
      </x:c>
      <x:c r="Z6" s="34" t="n"/>
      <x:c r="AA6" s="34" t="n"/>
      <x:c r="AB6" s="33" t="inlineStr">
        <x:is>
          <x:t xml:space="preserve">figures/adamw-lr0.001.png</x:t>
        </x:is>
      </x:c>
      <x:c r="AC6" s="47" t="str">
        <x:v>Prediction recorded before worker in planned/adamw-lr0.001.json. Independent GPU process. grad_p90=1.250242; mean clip fraction=0.000000. Optimizer/lr tuned jointly; betas=.9/.999, eps=1e-8, wd=0; momentum=.9.</x:v>
      </x:c>
      <x:c r="AD6" s="35" t="n">
        <x:f>IF(P6="","",P6-LN(7))</x:f>
        <x:v>0.32315163933839863</x:v>
      </x:c>
      <x:c r="AE6" s="35" t="n">
        <x:f>IF(OR(T6="",S6=""),"",T6-S6)</x:f>
        <x:v>0.019945340603603423</x:v>
      </x:c>
      <x:c r="AF6" s="35" t="n">
        <x:f>IF(OR(V6="",Seeds!$C$8=""),"",V6-Seeds!$C$8)</x:f>
        <x:v>-0.007954495041284537</x:v>
      </x:c>
      <x:c r="AG6" s="35" t="str">
        <x:f>IF(OR(AF6="",Seeds!$C$10=""),"",IF(ABS(AF6)&gt;Seeds!$C$10,"Có","Không"))</x:f>
        <x:v>Không</x:v>
      </x:c>
    </x:row>
    <x:row r="7" s="20" customFormat="1" ht="36" hidden="0" customHeight="1">
      <x:c r="A7" s="33" t="inlineStr">
        <x:is>
          <x:t xml:space="preserve">adamw-lr0.003</x:t>
        </x:is>
      </x:c>
      <x:c r="B7" s="33" t="inlineStr">
        <x:is>
          <x:t xml:space="preserve">optimizer</x:t>
        </x:is>
      </x:c>
      <x:c r="C7" s="47" t="inlineStr">
        <x:is>
          <x:t xml:space="preserve">Adam/AdamW có thể hội tụ nhanh hơn SGD; thử cùng lưới lr cho từng optimizer và so lr tốt nhất.</x:t>
        </x:is>
      </x:c>
      <x:c r="D7" s="33" t="inlineStr">
        <x:is>
          <x:t xml:space="preserve">ce</x:t>
        </x:is>
      </x:c>
      <x:c r="E7" s="33" t="inlineStr">
        <x:is>
          <x:t xml:space="preserve">adamw</x:t>
        </x:is>
      </x:c>
      <x:c r="F7" s="33" t="n">
        <x:v>0.003</x:v>
      </x:c>
      <x:c r="G7" s="33" t="n">
        <x:v>0</x:v>
      </x:c>
      <x:c r="H7" s="33" t="n">
        <x:v>512</x:v>
      </x:c>
      <x:c r="I7" s="33" t="n">
        <x:v>20</x:v>
      </x:c>
      <x:c r="J7" s="33" t="inlineStr">
        <x:is>
          <x:t xml:space="preserve">256-128</x:t>
        </x:is>
      </x:c>
      <x:c r="K7" s="33" t="n">
        <x:v>0</x:v>
      </x:c>
      <x:c r="L7" s="33" t="n"/>
      <x:c r="M7" s="33" t="inlineStr">
        <x:is>
          <x:t xml:space="preserve">fp32</x:t>
        </x:is>
      </x:c>
      <x:c r="N7" s="33" t="inlineStr">
        <x:is>
          <x:t xml:space="preserve">he</x:t>
        </x:is>
      </x:c>
      <x:c r="O7" s="33" t="n">
        <x:v>1</x:v>
      </x:c>
      <x:c r="P7" s="34" t="n">
        <x:v>2.269061788393712</x:v>
      </x:c>
      <x:c r="Q7" s="34" t="n">
        <x:v>0.2144964847657847</x:v>
      </x:c>
      <x:c r="R7" s="33" t="n">
        <x:v>19</x:v>
      </x:c>
      <x:c r="S7" s="34" t="n">
        <x:v>0.1869444217974311</x:v>
      </x:c>
      <x:c r="T7" s="34" t="n">
        <x:v>0.2159531313607559</x:v>
      </x:c>
      <x:c r="U7" s="34" t="n">
        <x:v>0.9152879671263527</x:v>
      </x:c>
      <x:c r="V7" s="34" t="n">
        <x:v>0.8677466182111557</x:v>
      </x:c>
      <x:c r="W7" s="49" t="n">
        <x:v>1.476678678500036</x:v>
      </x:c>
      <x:c r="X7" s="49" t="n">
        <x:v>160.77685546875</x:v>
      </x:c>
      <x:c r="Y7" s="33" t="b">
        <x:v>0</x:v>
      </x:c>
      <x:c r="Z7" s="34" t="n"/>
      <x:c r="AA7" s="34" t="n"/>
      <x:c r="AB7" s="33" t="inlineStr">
        <x:is>
          <x:t xml:space="preserve">figures/adamw-lr0.003.png</x:t>
        </x:is>
      </x:c>
      <x:c r="AC7" s="47" t="str">
        <x:v>Prediction recorded before worker in planned/adamw-lr0.003.json. Independent GPU process. grad_p90=0.919864; mean clip fraction=0.000000. Optimizer/lr tuned jointly; betas=.9/.999, eps=1e-8, wd=0; momentum=.9.</x:v>
      </x:c>
      <x:c r="AD7" s="35" t="n">
        <x:f>IF(P7="","",P7-LN(7))</x:f>
        <x:v>0.32315163933839863</x:v>
      </x:c>
      <x:c r="AE7" s="35" t="n">
        <x:f>IF(OR(T7="",S7=""),"",T7-S7)</x:f>
        <x:v>0.029008709563324797</x:v>
      </x:c>
      <x:c r="AF7" s="35" t="n">
        <x:f>IF(OR(V7="",Seeds!$C$8=""),"",V7-Seeds!$C$8)</x:f>
        <x:v>0.014236278482907205</x:v>
      </x:c>
      <x:c r="AG7" s="35" t="str">
        <x:f>IF(OR(AF7="",Seeds!$C$10=""),"",IF(ABS(AF7)&gt;Seeds!$C$10,"Có","Không"))</x:f>
        <x:v>Không</x:v>
      </x:c>
    </x:row>
    <x:row r="8" s="20" customFormat="1" ht="36" hidden="0" customHeight="1">
      <x:c r="A8" s="33" t="inlineStr">
        <x:is>
          <x:t xml:space="preserve">base-s1</x:t>
        </x:is>
      </x:c>
      <x:c r="B8" s="33" t="inlineStr">
        <x:is>
          <x:t xml:space="preserve">baseline</x:t>
        </x:is>
      </x:c>
      <x:c r="C8" s="47" t="inlineStr">
        <x:is>
          <x:t xml:space="preserve">SGD momentum: lr thấp học chậm, lr cao có thể dao động; chọn lr bằng F1 val tại epoch min val loss.</x:t>
        </x:is>
      </x:c>
      <x:c r="D8" s="33" t="inlineStr">
        <x:is>
          <x:t xml:space="preserve">ce</x:t>
        </x:is>
      </x:c>
      <x:c r="E8" s="33" t="inlineStr">
        <x:is>
          <x:t xml:space="preserve">sgd_momentum</x:t>
        </x:is>
      </x:c>
      <x:c r="F8" s="33" t="n">
        <x:v>0.1</x:v>
      </x:c>
      <x:c r="G8" s="33" t="n">
        <x:v>0</x:v>
      </x:c>
      <x:c r="H8" s="33" t="n">
        <x:v>512</x:v>
      </x:c>
      <x:c r="I8" s="33" t="n">
        <x:v>20</x:v>
      </x:c>
      <x:c r="J8" s="33" t="inlineStr">
        <x:is>
          <x:t xml:space="preserve">256-128</x:t>
        </x:is>
      </x:c>
      <x:c r="K8" s="33" t="n">
        <x:v>0</x:v>
      </x:c>
      <x:c r="L8" s="33" t="n"/>
      <x:c r="M8" s="33" t="inlineStr">
        <x:is>
          <x:t xml:space="preserve">fp32</x:t>
        </x:is>
      </x:c>
      <x:c r="N8" s="33" t="inlineStr">
        <x:is>
          <x:t xml:space="preserve">he</x:t>
        </x:is>
      </x:c>
      <x:c r="O8" s="33" t="n">
        <x:v>1</x:v>
      </x:c>
      <x:c r="P8" s="34" t="n">
        <x:v>2.269061788393712</x:v>
      </x:c>
      <x:c r="Q8" s="34" t="n">
        <x:v>0.2379235743460702</x:v>
      </x:c>
      <x:c r="R8" s="33" t="n">
        <x:v>18</x:v>
      </x:c>
      <x:c r="S8" s="34" t="n">
        <x:v>0.2208534015460324</x:v>
      </x:c>
      <x:c r="T8" s="34" t="n">
        <x:v>0.2425536006353739</x:v>
      </x:c>
      <x:c r="U8" s="34" t="n">
        <x:v>0.9053806931864633</x:v>
      </x:c>
      <x:c r="V8" s="34" t="n">
        <x:v>0.8390357563558714</x:v>
      </x:c>
      <x:c r="W8" s="49" t="n">
        <x:v>1.308921133550001</x:v>
      </x:c>
      <x:c r="X8" s="49" t="n">
        <x:v>160.59375</x:v>
      </x:c>
      <x:c r="Y8" s="33" t="b">
        <x:v>0</x:v>
      </x:c>
      <x:c r="Z8" s="34" t="n">
        <x:v>0.9033415660525116</x:v>
      </x:c>
      <x:c r="AA8" s="34" t="n">
        <x:v>0.8409922038067058</x:v>
      </x:c>
      <x:c r="AB8" s="33" t="inlineStr">
        <x:is>
          <x:t xml:space="preserve">figures/base-s1.png</x:t>
        </x:is>
      </x:c>
      <x:c r="AC8" s="47" t="str">
        <x:v>Prediction recorded before worker in planned/base-s1.json. Independent GPU process. grad_p90=0.696241; mean clip fraction=0.000000. Health and eval per-class values: Summary A20:F51, health_checks.json/eval_baseline.json.</x:v>
      </x:c>
      <x:c r="AD8" s="35" t="n">
        <x:f>IF(P8="","",P8-LN(7))</x:f>
        <x:v>0.32315163933839863</x:v>
      </x:c>
      <x:c r="AE8" s="35" t="n">
        <x:f>IF(OR(T8="",S8=""),"",T8-S8)</x:f>
        <x:v>0.02170019908934151</x:v>
      </x:c>
      <x:c r="AF8" s="35" t="n">
        <x:f>IF(OR(V8="",Seeds!$C$8=""),"",V8-Seeds!$C$8)</x:f>
        <x:v>-0.01447458337237717</x:v>
      </x:c>
      <x:c r="AG8" s="35" t="str">
        <x:f>IF(OR(AF8="",Seeds!$C$10=""),"",IF(ABS(AF8)&gt;Seeds!$C$10,"Có","Không"))</x:f>
        <x:v>Không</x:v>
      </x:c>
    </x:row>
    <x:row r="9" s="20" customFormat="1" ht="24" hidden="0" customHeight="1">
      <x:c r="A9" s="33" t="inlineStr">
        <x:is>
          <x:t xml:space="preserve">base-s2</x:t>
        </x:is>
      </x:c>
      <x:c r="B9" s="33" t="inlineStr">
        <x:is>
          <x:t xml:space="preserve">baseline</x:t>
        </x:is>
      </x:c>
      <x:c r="C9" s="47" t="inlineStr">
        <x:is>
          <x:t xml:space="preserve">SGD momentum: lr thấp học chậm, lr cao có thể dao động; chọn lr bằng F1 val tại epoch min val loss.</x:t>
        </x:is>
      </x:c>
      <x:c r="D9" s="33" t="inlineStr">
        <x:is>
          <x:t xml:space="preserve">ce</x:t>
        </x:is>
      </x:c>
      <x:c r="E9" s="33" t="inlineStr">
        <x:is>
          <x:t xml:space="preserve">sgd_momentum</x:t>
        </x:is>
      </x:c>
      <x:c r="F9" s="33" t="n">
        <x:v>0.1</x:v>
      </x:c>
      <x:c r="G9" s="33" t="n">
        <x:v>0</x:v>
      </x:c>
      <x:c r="H9" s="33" t="n">
        <x:v>512</x:v>
      </x:c>
      <x:c r="I9" s="33" t="n">
        <x:v>20</x:v>
      </x:c>
      <x:c r="J9" s="33" t="inlineStr">
        <x:is>
          <x:t xml:space="preserve">256-128</x:t>
        </x:is>
      </x:c>
      <x:c r="K9" s="33" t="n">
        <x:v>0</x:v>
      </x:c>
      <x:c r="L9" s="33" t="n"/>
      <x:c r="M9" s="33" t="inlineStr">
        <x:is>
          <x:t xml:space="preserve">fp32</x:t>
        </x:is>
      </x:c>
      <x:c r="N9" s="33" t="inlineStr">
        <x:is>
          <x:t xml:space="preserve">he</x:t>
        </x:is>
      </x:c>
      <x:c r="O9" s="33" t="n">
        <x:v>2</x:v>
      </x:c>
      <x:c r="P9" s="34" t="n">
        <x:v>1.978156701881548</x:v>
      </x:c>
      <x:c r="Q9" s="34" t="n">
        <x:v>0.2278535272960154</x:v>
      </x:c>
      <x:c r="R9" s="33" t="n">
        <x:v>19</x:v>
      </x:c>
      <x:c r="S9" s="34" t="n">
        <x:v>0.2075339349080401</x:v>
      </x:c>
      <x:c r="T9" s="34" t="n">
        <x:v>0.2325465058975711</x:v>
      </x:c>
      <x:c r="U9" s="34" t="n">
        <x:v>0.9099847249413739</x:v>
      </x:c>
      <x:c r="V9" s="34" t="n">
        <x:v>0.860050003346835</x:v>
      </x:c>
      <x:c r="W9" s="49" t="n">
        <x:v>1.37662679904999</x:v>
      </x:c>
      <x:c r="X9" s="49" t="n">
        <x:v>160.59375</x:v>
      </x:c>
      <x:c r="Y9" s="33" t="b">
        <x:v>0</x:v>
      </x:c>
      <x:c r="Z9" s="34" t="n"/>
      <x:c r="AA9" s="34" t="n"/>
      <x:c r="AB9" s="33" t="inlineStr">
        <x:is>
          <x:t xml:space="preserve">figures/base-s2.png</x:t>
        </x:is>
      </x:c>
      <x:c r="AC9" s="47" t="str">
        <x:v>Prediction recorded before worker in planned/base-s2.json. Independent GPU process. grad_p90=0.666963; mean clip fraction=0.000000.</x:v>
      </x:c>
      <x:c r="AD9" s="35" t="n">
        <x:f>IF(P9="","",P9-LN(7))</x:f>
        <x:v>0.03224655282623479</x:v>
      </x:c>
      <x:c r="AE9" s="35" t="n">
        <x:f>IF(OR(T9="",S9=""),"",T9-S9)</x:f>
        <x:v>0.025012570989530997</x:v>
      </x:c>
      <x:c r="AF9" s="35" t="n">
        <x:f>IF(OR(V9="",Seeds!$C$8=""),"",V9-Seeds!$C$8)</x:f>
        <x:v>0.006539663618586489</x:v>
      </x:c>
      <x:c r="AG9" s="35" t="str">
        <x:f>IF(OR(AF9="",Seeds!$C$10=""),"",IF(ABS(AF9)&gt;Seeds!$C$10,"Có","Không"))</x:f>
        <x:v>Không</x:v>
      </x:c>
    </x:row>
    <x:row r="10" s="20" customFormat="1" ht="24" hidden="0" customHeight="1">
      <x:c r="A10" s="33" t="inlineStr">
        <x:is>
          <x:t xml:space="preserve">base-s3</x:t>
        </x:is>
      </x:c>
      <x:c r="B10" s="33" t="inlineStr">
        <x:is>
          <x:t xml:space="preserve">baseline</x:t>
        </x:is>
      </x:c>
      <x:c r="C10" s="47" t="inlineStr">
        <x:is>
          <x:t xml:space="preserve">SGD momentum: lr thấp học chậm, lr cao có thể dao động; chọn lr bằng F1 val tại epoch min val loss.</x:t>
        </x:is>
      </x:c>
      <x:c r="D10" s="33" t="inlineStr">
        <x:is>
          <x:t xml:space="preserve">ce</x:t>
        </x:is>
      </x:c>
      <x:c r="E10" s="33" t="inlineStr">
        <x:is>
          <x:t xml:space="preserve">sgd_momentum</x:t>
        </x:is>
      </x:c>
      <x:c r="F10" s="33" t="n">
        <x:v>0.1</x:v>
      </x:c>
      <x:c r="G10" s="33" t="n">
        <x:v>0</x:v>
      </x:c>
      <x:c r="H10" s="33" t="n">
        <x:v>512</x:v>
      </x:c>
      <x:c r="I10" s="33" t="n">
        <x:v>20</x:v>
      </x:c>
      <x:c r="J10" s="33" t="inlineStr">
        <x:is>
          <x:t xml:space="preserve">256-128</x:t>
        </x:is>
      </x:c>
      <x:c r="K10" s="33" t="n">
        <x:v>0</x:v>
      </x:c>
      <x:c r="L10" s="33" t="n"/>
      <x:c r="M10" s="33" t="inlineStr">
        <x:is>
          <x:t xml:space="preserve">fp32</x:t>
        </x:is>
      </x:c>
      <x:c r="N10" s="33" t="inlineStr">
        <x:is>
          <x:t xml:space="preserve">he</x:t>
        </x:is>
      </x:c>
      <x:c r="O10" s="33" t="n">
        <x:v>3</x:v>
      </x:c>
      <x:c r="P10" s="34" t="n">
        <x:v>1.900539953068861</x:v>
      </x:c>
      <x:c r="Q10" s="34" t="n">
        <x:v>0.2276589681332745</x:v>
      </x:c>
      <x:c r="R10" s="33" t="n">
        <x:v>19</x:v>
      </x:c>
      <x:c r="S10" s="34" t="n">
        <x:v>0.2158851095926004</x:v>
      </x:c>
      <x:c r="T10" s="34" t="n">
        <x:v>0.2375198889177752</x:v>
      </x:c>
      <x:c r="U10" s="34" t="n">
        <x:v>0.9091026440911341</x:v>
      </x:c>
      <x:c r="V10" s="34" t="n">
        <x:v>0.861445259482039</x:v>
      </x:c>
      <x:c r="W10" s="49" t="n">
        <x:v>1.359536895699989</x:v>
      </x:c>
      <x:c r="X10" s="49" t="n">
        <x:v>160.59375</x:v>
      </x:c>
      <x:c r="Y10" s="33" t="b">
        <x:v>0</x:v>
      </x:c>
      <x:c r="Z10" s="34" t="n"/>
      <x:c r="AA10" s="34" t="n"/>
      <x:c r="AB10" s="33" t="inlineStr">
        <x:is>
          <x:t xml:space="preserve">figures/base-s3.png</x:t>
        </x:is>
      </x:c>
      <x:c r="AC10" s="47" t="str">
        <x:v>Prediction recorded before worker in planned/base-s3.json. Independent GPU process. grad_p90=0.709586; mean clip fraction=0.000000.</x:v>
      </x:c>
      <x:c r="AD10" s="35" t="n">
        <x:f>IF(P10="","",P10-LN(7))</x:f>
        <x:v>-0.04537019598645231</x:v>
      </x:c>
      <x:c r="AE10" s="35" t="n">
        <x:f>IF(OR(T10="",S10=""),"",T10-S10)</x:f>
        <x:v>0.021634779325174797</x:v>
      </x:c>
      <x:c r="AF10" s="35" t="n">
        <x:f>IF(OR(V10="",Seeds!$C$8=""),"",V10-Seeds!$C$8)</x:f>
        <x:v>0.00793491975379046</x:v>
      </x:c>
      <x:c r="AG10" s="35" t="str">
        <x:f>IF(OR(AF10="",Seeds!$C$10=""),"",IF(ABS(AF10)&gt;Seeds!$C$10,"Có","Không"))</x:f>
        <x:v>Không</x:v>
      </x:c>
    </x:row>
    <x:row r="11" s="20" customFormat="1" ht="24" hidden="0" customHeight="1">
      <x:c r="A11" s="33" t="inlineStr">
        <x:is>
          <x:t xml:space="preserve">batch2048</x:t>
        </x:is>
      </x:c>
      <x:c r="B11" s="33" t="inlineStr">
        <x:is>
          <x:t xml:space="preserve">hyperparameter</x:t>
        </x:is>
      </x:c>
      <x:c r="C11" s="47" t="inlineStr">
        <x:is>
          <x:t xml:space="preserve">Batch 2048 giảm số bước/epoch bốn lần so batch 512, có thể làm học chậm với lr giữ nguyên.</x:t>
        </x:is>
      </x:c>
      <x:c r="D11" s="33" t="inlineStr">
        <x:is>
          <x:t xml:space="preserve">ce</x:t>
        </x:is>
      </x:c>
      <x:c r="E11" s="33" t="inlineStr">
        <x:is>
          <x:t xml:space="preserve">sgd_momentum</x:t>
        </x:is>
      </x:c>
      <x:c r="F11" s="33" t="n">
        <x:v>0.1</x:v>
      </x:c>
      <x:c r="G11" s="33" t="n">
        <x:v>0</x:v>
      </x:c>
      <x:c r="H11" s="33" t="n">
        <x:v>2048</x:v>
      </x:c>
      <x:c r="I11" s="33" t="n">
        <x:v>20</x:v>
      </x:c>
      <x:c r="J11" s="33" t="inlineStr">
        <x:is>
          <x:t xml:space="preserve">256-128</x:t>
        </x:is>
      </x:c>
      <x:c r="K11" s="33" t="n">
        <x:v>0</x:v>
      </x:c>
      <x:c r="L11" s="33" t="n"/>
      <x:c r="M11" s="33" t="inlineStr">
        <x:is>
          <x:t xml:space="preserve">fp32</x:t>
        </x:is>
      </x:c>
      <x:c r="N11" s="33" t="inlineStr">
        <x:is>
          <x:t xml:space="preserve">he</x:t>
        </x:is>
      </x:c>
      <x:c r="O11" s="33" t="n">
        <x:v>1</x:v>
      </x:c>
      <x:c r="P11" s="34" t="n">
        <x:v>2.269061788393712</x:v>
      </x:c>
      <x:c r="Q11" s="34" t="n">
        <x:v>0.2810376736596674</x:v>
      </x:c>
      <x:c r="R11" s="33" t="n">
        <x:v>18</x:v>
      </x:c>
      <x:c r="S11" s="34" t="n">
        <x:v>0.2753028769605783</x:v>
      </x:c>
      <x:c r="T11" s="34" t="n">
        <x:v>0.291032188046048</x:v>
      </x:c>
      <x:c r="U11" s="34" t="n">
        <x:v>0.8851788902992621</x:v>
      </x:c>
      <x:c r="V11" s="34" t="n">
        <x:v>0.7969625312167096</x:v>
      </x:c>
      <x:c r="W11" s="49" t="n">
        <x:v>0.3896035869499769</x:v>
      </x:c>
      <x:c r="X11" s="49" t="n">
        <x:v>160.8125</x:v>
      </x:c>
      <x:c r="Y11" s="33" t="b">
        <x:v>0</x:v>
      </x:c>
      <x:c r="Z11" s="34" t="n"/>
      <x:c r="AA11" s="34" t="n"/>
      <x:c r="AB11" s="33" t="inlineStr">
        <x:is>
          <x:t xml:space="preserve">figures/batch2048.png</x:t>
        </x:is>
      </x:c>
      <x:c r="AC11" s="47" t="str">
        <x:v>Prediction recorded before worker in planned/batch2048.json. Independent GPU process. grad_p90=1.114660; mean clip fraction=0.000000.</x:v>
      </x:c>
      <x:c r="AD11" s="35" t="n">
        <x:f>IF(P11="","",P11-LN(7))</x:f>
        <x:v>0.32315163933839863</x:v>
      </x:c>
      <x:c r="AE11" s="35" t="n">
        <x:f>IF(OR(T11="",S11=""),"",T11-S11)</x:f>
        <x:v>0.01572931108546971</x:v>
      </x:c>
      <x:c r="AF11" s="35" t="n">
        <x:f>IF(OR(V11="",Seeds!$C$8=""),"",V11-Seeds!$C$8)</x:f>
        <x:v>-0.056547808511538955</x:v>
      </x:c>
      <x:c r="AG11" s="35" t="str">
        <x:f>IF(OR(AF11="",Seeds!$C$10=""),"",IF(ABS(AF11)&gt;Seeds!$C$10,"Có","Không"))</x:f>
        <x:v>Có</x:v>
      </x:c>
    </x:row>
    <x:row r="12" s="20" customFormat="1" ht="24" hidden="0" customHeight="1">
      <x:c r="A12" s="33" t="inlineStr">
        <x:is>
          <x:t xml:space="preserve">clip-normal</x:t>
        </x:is>
      </x:c>
      <x:c r="B12" s="33" t="inlineStr">
        <x:is>
          <x:t xml:space="preserve">clipping</x:t>
        </x:is>
      </x:c>
      <x:c r="C12" s="47" t="inlineStr">
        <x:is>
          <x:t xml:space="preserve">lr gấp 10 có thể gây dao động; clip ở phân vị 90 gradient baseline có thể giảm bước cực lớn, không chắc cứu được phân kỳ.</x:t>
        </x:is>
      </x:c>
      <x:c r="D12" s="33" t="inlineStr">
        <x:is>
          <x:t xml:space="preserve">ce</x:t>
        </x:is>
      </x:c>
      <x:c r="E12" s="33" t="inlineStr">
        <x:is>
          <x:t xml:space="preserve">sgd_momentum</x:t>
        </x:is>
      </x:c>
      <x:c r="F12" s="33" t="n">
        <x:v>0.1</x:v>
      </x:c>
      <x:c r="G12" s="33" t="n">
        <x:v>0</x:v>
      </x:c>
      <x:c r="H12" s="33" t="n">
        <x:v>512</x:v>
      </x:c>
      <x:c r="I12" s="33" t="n">
        <x:v>20</x:v>
      </x:c>
      <x:c r="J12" s="33" t="inlineStr">
        <x:is>
          <x:t xml:space="preserve">256-128</x:t>
        </x:is>
      </x:c>
      <x:c r="K12" s="33" t="n">
        <x:v>0</x:v>
      </x:c>
      <x:c r="L12" s="33" t="n">
        <x:v>0.6962409436702729</x:v>
      </x:c>
      <x:c r="M12" s="33" t="inlineStr">
        <x:is>
          <x:t xml:space="preserve">fp32</x:t>
        </x:is>
      </x:c>
      <x:c r="N12" s="33" t="inlineStr">
        <x:is>
          <x:t xml:space="preserve">he</x:t>
        </x:is>
      </x:c>
      <x:c r="O12" s="33" t="n">
        <x:v>1</x:v>
      </x:c>
      <x:c r="P12" s="34" t="n">
        <x:v>2.269061788393712</x:v>
      </x:c>
      <x:c r="Q12" s="34" t="n">
        <x:v>0.2426736448028664</x:v>
      </x:c>
      <x:c r="R12" s="33" t="n">
        <x:v>15</x:v>
      </x:c>
      <x:c r="S12" s="34" t="n">
        <x:v>0.2228872693967651</x:v>
      </x:c>
      <x:c r="T12" s="34" t="n">
        <x:v>0.2460131979330264</x:v>
      </x:c>
      <x:c r="U12" s="34" t="n">
        <x:v>0.9026914223015856</x:v>
      </x:c>
      <x:c r="V12" s="34" t="n">
        <x:v>0.8441129852605526</x:v>
      </x:c>
      <x:c r="W12" s="49" t="n">
        <x:v>1.324455269500038</x:v>
      </x:c>
      <x:c r="X12" s="49" t="n">
        <x:v>160.59375</x:v>
      </x:c>
      <x:c r="Y12" s="33" t="b">
        <x:v>0</x:v>
      </x:c>
      <x:c r="Z12" s="34" t="n"/>
      <x:c r="AA12" s="34" t="n"/>
      <x:c r="AB12" s="33" t="inlineStr">
        <x:is>
          <x:t xml:space="preserve">figures/clip-normal.png</x:t>
        </x:is>
      </x:c>
      <x:c r="AC12" s="47" t="str">
        <x:v>Prediction recorded before worker in planned/clip-normal.json. Independent GPU process. grad_p90=0.722627; mean clip fraction=0.133356.</x:v>
      </x:c>
      <x:c r="AD12" s="35" t="n">
        <x:f>IF(P12="","",P12-LN(7))</x:f>
        <x:v>0.32315163933839863</x:v>
      </x:c>
      <x:c r="AE12" s="35" t="n">
        <x:f>IF(OR(T12="",S12=""),"",T12-S12)</x:f>
        <x:v>0.023125928536261303</x:v>
      </x:c>
      <x:c r="AF12" s="35" t="n">
        <x:f>IF(OR(V12="",Seeds!$C$8=""),"",V12-Seeds!$C$8)</x:f>
        <x:v>-0.009397354467695962</x:v>
      </x:c>
      <x:c r="AG12" s="35" t="str">
        <x:f>IF(OR(AF12="",Seeds!$C$10=""),"",IF(ABS(AF12)&gt;Seeds!$C$10,"Có","Không"))</x:f>
        <x:v>Không</x:v>
      </x:c>
    </x:row>
    <x:row r="13" s="20" customFormat="1" ht="24" hidden="0" customHeight="1">
      <x:c r="A13" s="33" t="inlineStr">
        <x:is>
          <x:t xml:space="preserve">dropout-p03</x:t>
        </x:is>
      </x:c>
      <x:c r="B13" s="33" t="inlineStr">
        <x:is>
          <x:t xml:space="preserve">dropout</x:t>
        </x:is>
      </x:c>
      <x:c r="C13" s="47" t="inlineStr">
        <x:is>
          <x:t xml:space="preserve">p=0.3 có thể giảm train-val gap nhưng giảm F1 nếu mạng chưa overfit.</x:t>
        </x:is>
      </x:c>
      <x:c r="D13" s="33" t="inlineStr">
        <x:is>
          <x:t xml:space="preserve">ce</x:t>
        </x:is>
      </x:c>
      <x:c r="E13" s="33" t="inlineStr">
        <x:is>
          <x:t xml:space="preserve">sgd_momentum</x:t>
        </x:is>
      </x:c>
      <x:c r="F13" s="33" t="n">
        <x:v>0.1</x:v>
      </x:c>
      <x:c r="G13" s="33" t="n">
        <x:v>0</x:v>
      </x:c>
      <x:c r="H13" s="33" t="n">
        <x:v>512</x:v>
      </x:c>
      <x:c r="I13" s="33" t="n">
        <x:v>20</x:v>
      </x:c>
      <x:c r="J13" s="33" t="inlineStr">
        <x:is>
          <x:t xml:space="preserve">256-128</x:t>
        </x:is>
      </x:c>
      <x:c r="K13" s="33" t="n">
        <x:v>0.3</x:v>
      </x:c>
      <x:c r="L13" s="33" t="n"/>
      <x:c r="M13" s="33" t="inlineStr">
        <x:is>
          <x:t xml:space="preserve">fp32</x:t>
        </x:is>
      </x:c>
      <x:c r="N13" s="33" t="inlineStr">
        <x:is>
          <x:t xml:space="preserve">he</x:t>
        </x:is>
      </x:c>
      <x:c r="O13" s="33" t="n">
        <x:v>1</x:v>
      </x:c>
      <x:c r="P13" s="34" t="n">
        <x:v>2.269061788393712</x:v>
      </x:c>
      <x:c r="Q13" s="34" t="n">
        <x:v>0.3150786634582124</x:v>
      </x:c>
      <x:c r="R13" s="33" t="n">
        <x:v>20</x:v>
      </x:c>
      <x:c r="S13" s="34" t="n">
        <x:v>0.3085967255391667</x:v>
      </x:c>
      <x:c r="T13" s="34" t="n">
        <x:v>0.3150786634582124</x:v>
      </x:c>
      <x:c r="U13" s="34" t="n">
        <x:v>0.8727867300617457</x:v>
      </x:c>
      <x:c r="V13" s="34" t="n">
        <x:v>0.7874882114860531</x:v>
      </x:c>
      <x:c r="W13" s="49" t="n">
        <x:v>1.442498998099984</x:v>
      </x:c>
      <x:c r="X13" s="49" t="n">
        <x:v>160.59375</x:v>
      </x:c>
      <x:c r="Y13" s="33" t="b">
        <x:v>0</x:v>
      </x:c>
      <x:c r="Z13" s="34" t="n"/>
      <x:c r="AA13" s="34" t="n"/>
      <x:c r="AB13" s="33" t="inlineStr">
        <x:is>
          <x:t xml:space="preserve">figures/dropout-p03.png</x:t>
        </x:is>
      </x:c>
      <x:c r="AC13" s="47" t="str">
        <x:v>Prediction recorded before worker in planned/dropout-p03.json. Independent GPU process. grad_p90=0.397102; mean clip fraction=0.000000.</x:v>
      </x:c>
      <x:c r="AD13" s="35" t="n">
        <x:f>IF(P13="","",P13-LN(7))</x:f>
        <x:v>0.32315163933839863</x:v>
      </x:c>
      <x:c r="AE13" s="35" t="n">
        <x:f>IF(OR(T13="",S13=""),"",T13-S13)</x:f>
        <x:v>0.006481937919045666</x:v>
      </x:c>
      <x:c r="AF13" s="35" t="n">
        <x:f>IF(OR(V13="",Seeds!$C$8=""),"",V13-Seeds!$C$8)</x:f>
        <x:v>-0.06602212824219544</x:v>
      </x:c>
      <x:c r="AG13" s="35" t="str">
        <x:f>IF(OR(AF13="",Seeds!$C$10=""),"",IF(ABS(AF13)&gt;Seeds!$C$10,"Có","Không"))</x:f>
        <x:v>Có</x:v>
      </x:c>
    </x:row>
    <x:row r="14" s="20" customFormat="1" ht="24" hidden="0" customHeight="1">
      <x:c r="A14" s="33" t="inlineStr">
        <x:is>
          <x:t xml:space="preserve">final-s2</x:t>
        </x:is>
      </x:c>
      <x:c r="B14" s="33" t="inlineStr">
        <x:is>
          <x:t xml:space="preserve">other</x:t>
        </x:is>
      </x:c>
      <x:c r="C14" s="47" t="inlineStr">
        <x:is>
          <x:t xml:space="preserve">Fixed validation-selected config repeated for noise; no retuning.</x:t>
        </x:is>
      </x:c>
      <x:c r="D14" s="33" t="inlineStr">
        <x:is>
          <x:t xml:space="preserve">ce</x:t>
        </x:is>
      </x:c>
      <x:c r="E14" s="33" t="inlineStr">
        <x:is>
          <x:t xml:space="preserve">adam</x:t>
        </x:is>
      </x:c>
      <x:c r="F14" s="33" t="n">
        <x:v>0.003</x:v>
      </x:c>
      <x:c r="G14" s="33" t="n">
        <x:v>0</x:v>
      </x:c>
      <x:c r="H14" s="33" t="n">
        <x:v>512</x:v>
      </x:c>
      <x:c r="I14" s="33" t="n">
        <x:v>20</x:v>
      </x:c>
      <x:c r="J14" s="33" t="inlineStr">
        <x:is>
          <x:t xml:space="preserve">256-128</x:t>
        </x:is>
      </x:c>
      <x:c r="K14" s="33" t="n">
        <x:v>0</x:v>
      </x:c>
      <x:c r="L14" s="33" t="n"/>
      <x:c r="M14" s="33" t="inlineStr">
        <x:is>
          <x:t xml:space="preserve">fp32</x:t>
        </x:is>
      </x:c>
      <x:c r="N14" s="33" t="inlineStr">
        <x:is>
          <x:t xml:space="preserve">he</x:t>
        </x:is>
      </x:c>
      <x:c r="O14" s="33" t="n">
        <x:v>2</x:v>
      </x:c>
      <x:c r="P14" s="34" t="n">
        <x:v>1.978156701881548</x:v>
      </x:c>
      <x:c r="Q14" s="34" t="n">
        <x:v>0.2098134267899787</x:v>
      </x:c>
      <x:c r="R14" s="33" t="n">
        <x:v>20</x:v>
      </x:c>
      <x:c r="S14" s="34" t="n">
        <x:v>0.1819792724782051</x:v>
      </x:c>
      <x:c r="T14" s="34" t="n">
        <x:v>0.2098134267899787</x:v>
      </x:c>
      <x:c r="U14" s="34" t="n">
        <x:v>0.9172242421634647</x:v>
      </x:c>
      <x:c r="V14" s="34" t="n">
        <x:v>0.86256369796698</x:v>
      </x:c>
      <x:c r="W14" s="49" t="n">
        <x:v>1.477861961750011</x:v>
      </x:c>
      <x:c r="X14" s="49" t="n">
        <x:v>160.77685546875</x:v>
      </x:c>
      <x:c r="Y14" s="33" t="b">
        <x:v>0</x:v>
      </x:c>
      <x:c r="Z14" s="34" t="n"/>
      <x:c r="AA14" s="34" t="n"/>
      <x:c r="AB14" s="33" t="inlineStr">
        <x:is>
          <x:t xml:space="preserve">figures/final-s2.png</x:t>
        </x:is>
      </x:c>
      <x:c r="AC14" s="47" t="str">
        <x:v>Prediction recorded before worker in planned/final-s2.json. Independent GPU process. grad_p90=0.857768; mean clip fraction=0.000000.</x:v>
      </x:c>
      <x:c r="AD14" s="35" t="n">
        <x:f>IF(P14="","",P14-LN(7))</x:f>
        <x:v>0.03224655282623479</x:v>
      </x:c>
      <x:c r="AE14" s="35" t="n">
        <x:f>IF(OR(T14="",S14=""),"",T14-S14)</x:f>
        <x:v>0.02783415431177358</x:v>
      </x:c>
      <x:c r="AF14" s="35" t="n">
        <x:f>IF(OR(V14="",Seeds!$C$8=""),"",V14-Seeds!$C$8)</x:f>
        <x:v>0.009053358238731435</x:v>
      </x:c>
      <x:c r="AG14" s="35" t="str">
        <x:f>IF(OR(AF14="",Seeds!$C$10=""),"",IF(ABS(AF14)&gt;Seeds!$C$10,"Có","Không"))</x:f>
        <x:v>Không</x:v>
      </x:c>
    </x:row>
    <x:row r="15" s="20" customFormat="1" ht="24" hidden="0" customHeight="1">
      <x:c r="A15" s="33" t="inlineStr">
        <x:is>
          <x:t xml:space="preserve">final-s3</x:t>
        </x:is>
      </x:c>
      <x:c r="B15" s="33" t="inlineStr">
        <x:is>
          <x:t xml:space="preserve">other</x:t>
        </x:is>
      </x:c>
      <x:c r="C15" s="47" t="inlineStr">
        <x:is>
          <x:t xml:space="preserve">Fixed validation-selected config repeated for noise; no retuning.</x:t>
        </x:is>
      </x:c>
      <x:c r="D15" s="33" t="inlineStr">
        <x:is>
          <x:t xml:space="preserve">ce</x:t>
        </x:is>
      </x:c>
      <x:c r="E15" s="33" t="inlineStr">
        <x:is>
          <x:t xml:space="preserve">adam</x:t>
        </x:is>
      </x:c>
      <x:c r="F15" s="33" t="n">
        <x:v>0.003</x:v>
      </x:c>
      <x:c r="G15" s="33" t="n">
        <x:v>0</x:v>
      </x:c>
      <x:c r="H15" s="33" t="n">
        <x:v>512</x:v>
      </x:c>
      <x:c r="I15" s="33" t="n">
        <x:v>20</x:v>
      </x:c>
      <x:c r="J15" s="33" t="inlineStr">
        <x:is>
          <x:t xml:space="preserve">256-128</x:t>
        </x:is>
      </x:c>
      <x:c r="K15" s="33" t="n">
        <x:v>0</x:v>
      </x:c>
      <x:c r="L15" s="33" t="n"/>
      <x:c r="M15" s="33" t="inlineStr">
        <x:is>
          <x:t xml:space="preserve">fp32</x:t>
        </x:is>
      </x:c>
      <x:c r="N15" s="33" t="inlineStr">
        <x:is>
          <x:t xml:space="preserve">he</x:t>
        </x:is>
      </x:c>
      <x:c r="O15" s="33" t="n">
        <x:v>3</x:v>
      </x:c>
      <x:c r="P15" s="34" t="n">
        <x:v>1.900539953068861</x:v>
      </x:c>
      <x:c r="Q15" s="34" t="n">
        <x:v>0.2152615206158666</x:v>
      </x:c>
      <x:c r="R15" s="33" t="n">
        <x:v>19</x:v>
      </x:c>
      <x:c r="S15" s="34" t="n">
        <x:v>0.1920850317411504</x:v>
      </x:c>
      <x:c r="T15" s="34" t="n">
        <x:v>0.2195941316663664</x:v>
      </x:c>
      <x:c r="U15" s="34" t="n">
        <x:v>0.9158688496374863</x:v>
      </x:c>
      <x:c r="V15" s="34" t="n">
        <x:v>0.8718252825287924</x:v>
      </x:c>
      <x:c r="W15" s="49" t="n">
        <x:v>1.477130472949989</x:v>
      </x:c>
      <x:c r="X15" s="49" t="n">
        <x:v>160.77685546875</x:v>
      </x:c>
      <x:c r="Y15" s="33" t="b">
        <x:v>0</x:v>
      </x:c>
      <x:c r="Z15" s="34" t="n"/>
      <x:c r="AA15" s="34" t="n"/>
      <x:c r="AB15" s="33" t="inlineStr">
        <x:is>
          <x:t xml:space="preserve">figures/final-s3.png</x:t>
        </x:is>
      </x:c>
      <x:c r="AC15" s="47" t="str">
        <x:v>Prediction recorded before worker in planned/final-s3.json. Independent GPU process. grad_p90=0.885323; mean clip fraction=0.000000.</x:v>
      </x:c>
      <x:c r="AD15" s="35" t="n">
        <x:f>IF(P15="","",P15-LN(7))</x:f>
        <x:v>-0.04537019598645231</x:v>
      </x:c>
      <x:c r="AE15" s="35" t="n">
        <x:f>IF(OR(T15="",S15=""),"",T15-S15)</x:f>
        <x:v>0.027509099925215996</x:v>
      </x:c>
      <x:c r="AF15" s="35" t="n">
        <x:f>IF(OR(V15="",Seeds!$C$8=""),"",V15-Seeds!$C$8)</x:f>
        <x:v>0.01831494280054391</x:v>
      </x:c>
      <x:c r="AG15" s="35" t="str">
        <x:f>IF(OR(AF15="",Seeds!$C$10=""),"",IF(ABS(AF15)&gt;Seeds!$C$10,"Có","Không"))</x:f>
        <x:v>Không</x:v>
      </x:c>
    </x:row>
    <x:row r="16" s="20" customFormat="1" ht="36" hidden="0" customHeight="1">
      <x:c r="A16" s="33" t="inlineStr">
        <x:is>
          <x:t xml:space="preserve">highlr-clip</x:t>
        </x:is>
      </x:c>
      <x:c r="B16" s="33" t="inlineStr">
        <x:is>
          <x:t xml:space="preserve">clipping</x:t>
        </x:is>
      </x:c>
      <x:c r="C16" s="47" t="inlineStr">
        <x:is>
          <x:t xml:space="preserve">lr gấp 10 có thể gây dao động; clip ở phân vị 90 gradient baseline có thể giảm bước cực lớn, không chắc cứu được phân kỳ.</x:t>
        </x:is>
      </x:c>
      <x:c r="D16" s="33" t="inlineStr">
        <x:is>
          <x:t xml:space="preserve">ce</x:t>
        </x:is>
      </x:c>
      <x:c r="E16" s="33" t="inlineStr">
        <x:is>
          <x:t xml:space="preserve">sgd_momentum</x:t>
        </x:is>
      </x:c>
      <x:c r="F16" s="33" t="n">
        <x:v>1</x:v>
      </x:c>
      <x:c r="G16" s="33" t="n">
        <x:v>0</x:v>
      </x:c>
      <x:c r="H16" s="33" t="n">
        <x:v>512</x:v>
      </x:c>
      <x:c r="I16" s="33" t="n">
        <x:v>20</x:v>
      </x:c>
      <x:c r="J16" s="33" t="inlineStr">
        <x:is>
          <x:t xml:space="preserve">256-128</x:t>
        </x:is>
      </x:c>
      <x:c r="K16" s="33" t="n">
        <x:v>0</x:v>
      </x:c>
      <x:c r="L16" s="33" t="n">
        <x:v>0.6962409436702729</x:v>
      </x:c>
      <x:c r="M16" s="33" t="inlineStr">
        <x:is>
          <x:t xml:space="preserve">fp32</x:t>
        </x:is>
      </x:c>
      <x:c r="N16" s="33" t="inlineStr">
        <x:is>
          <x:t xml:space="preserve">he</x:t>
        </x:is>
      </x:c>
      <x:c r="O16" s="33" t="n">
        <x:v>1</x:v>
      </x:c>
      <x:c r="P16" s="34" t="n">
        <x:v>2.269061788393712</x:v>
      </x:c>
      <x:c r="Q16" s="34" t="n">
        <x:v>0.3084116313413428</x:v>
      </x:c>
      <x:c r="R16" s="33" t="n">
        <x:v>20</x:v>
      </x:c>
      <x:c r="S16" s="34" t="n">
        <x:v>0.2862392416991544</x:v>
      </x:c>
      <x:c r="T16" s="34" t="n">
        <x:v>0.3084116313413428</x:v>
      </x:c>
      <x:c r="U16" s="34" t="n">
        <x:v>0.8859426432305674</x:v>
      </x:c>
      <x:c r="V16" s="34" t="n">
        <x:v>0.802701640920526</x:v>
      </x:c>
      <x:c r="W16" s="49" t="n">
        <x:v>1.310327988150004</x:v>
      </x:c>
      <x:c r="X16" s="49" t="n">
        <x:v>160.59375</x:v>
      </x:c>
      <x:c r="Y16" s="33" t="b">
        <x:v>0</x:v>
      </x:c>
      <x:c r="Z16" s="34" t="n"/>
      <x:c r="AA16" s="34" t="n"/>
      <x:c r="AB16" s="33" t="inlineStr">
        <x:is>
          <x:t xml:space="preserve">figures/highlr-clip.png</x:t>
        </x:is>
      </x:c>
      <x:c r="AC16" s="47" t="str">
        <x:v>Prediction recorded before worker in planned/highlr-clip.json. Independent GPU process. grad_p90=0.293581; mean clip fraction=0.001032. Compare highlr-none at same lr; relative to baseline lr/clip both change.</x:v>
      </x:c>
      <x:c r="AD16" s="35" t="n">
        <x:f>IF(P16="","",P16-LN(7))</x:f>
        <x:v>0.32315163933839863</x:v>
      </x:c>
      <x:c r="AE16" s="35" t="n">
        <x:f>IF(OR(T16="",S16=""),"",T16-S16)</x:f>
        <x:v>0.022172389642188428</x:v>
      </x:c>
      <x:c r="AF16" s="35" t="n">
        <x:f>IF(OR(V16="",Seeds!$C$8=""),"",V16-Seeds!$C$8)</x:f>
        <x:v>-0.05080869880772254</x:v>
      </x:c>
      <x:c r="AG16" s="35" t="str">
        <x:f>IF(OR(AF16="",Seeds!$C$10=""),"",IF(ABS(AF16)&gt;Seeds!$C$10,"Có","Không"))</x:f>
        <x:v>Có</x:v>
      </x:c>
    </x:row>
    <x:row r="17" s="20" customFormat="1" ht="24" hidden="0" customHeight="1">
      <x:c r="A17" s="33" t="inlineStr">
        <x:is>
          <x:t xml:space="preserve">highlr-none</x:t>
        </x:is>
      </x:c>
      <x:c r="B17" s="33" t="inlineStr">
        <x:is>
          <x:t xml:space="preserve">clipping</x:t>
        </x:is>
      </x:c>
      <x:c r="C17" s="47" t="inlineStr">
        <x:is>
          <x:t xml:space="preserve">lr gấp 10 có thể gây dao động; clip ở phân vị 90 gradient baseline có thể giảm bước cực lớn, không chắc cứu được phân kỳ.</x:t>
        </x:is>
      </x:c>
      <x:c r="D17" s="33" t="inlineStr">
        <x:is>
          <x:t xml:space="preserve">ce</x:t>
        </x:is>
      </x:c>
      <x:c r="E17" s="33" t="inlineStr">
        <x:is>
          <x:t xml:space="preserve">sgd_momentum</x:t>
        </x:is>
      </x:c>
      <x:c r="F17" s="33" t="n">
        <x:v>1</x:v>
      </x:c>
      <x:c r="G17" s="33" t="n">
        <x:v>0</x:v>
      </x:c>
      <x:c r="H17" s="33" t="n">
        <x:v>512</x:v>
      </x:c>
      <x:c r="I17" s="33" t="n">
        <x:v>20</x:v>
      </x:c>
      <x:c r="J17" s="33" t="inlineStr">
        <x:is>
          <x:t xml:space="preserve">256-128</x:t>
        </x:is>
      </x:c>
      <x:c r="K17" s="33" t="n">
        <x:v>0</x:v>
      </x:c>
      <x:c r="L17" s="33" t="n"/>
      <x:c r="M17" s="33" t="inlineStr">
        <x:is>
          <x:t xml:space="preserve">fp32</x:t>
        </x:is>
      </x:c>
      <x:c r="N17" s="33" t="inlineStr">
        <x:is>
          <x:t xml:space="preserve">he</x:t>
        </x:is>
      </x:c>
      <x:c r="O17" s="33" t="n">
        <x:v>1</x:v>
      </x:c>
      <x:c r="P17" s="34" t="n">
        <x:v>2.269061788393712</x:v>
      </x:c>
      <x:c r="Q17" s="34" t="n">
        <x:v>0.3334942100785721</x:v>
      </x:c>
      <x:c r="R17" s="33" t="n">
        <x:v>19</x:v>
      </x:c>
      <x:c r="S17" s="34" t="n">
        <x:v>0.3530189502608768</x:v>
      </x:c>
      <x:c r="T17" s="34" t="n">
        <x:v>0.3708138307793944</x:v>
      </x:c>
      <x:c r="U17" s="34" t="n">
        <x:v>0.8662464232697231</x:v>
      </x:c>
      <x:c r="V17" s="34" t="n">
        <x:v>0.7731754847049565</x:v>
      </x:c>
      <x:c r="W17" s="49" t="n">
        <x:v>1.312749423249966</x:v>
      </x:c>
      <x:c r="X17" s="49" t="n">
        <x:v>160.59375</x:v>
      </x:c>
      <x:c r="Y17" s="33" t="b">
        <x:v>0</x:v>
      </x:c>
      <x:c r="Z17" s="34" t="n"/>
      <x:c r="AA17" s="34" t="n"/>
      <x:c r="AB17" s="33" t="inlineStr">
        <x:is>
          <x:t xml:space="preserve">figures/highlr-none.png</x:t>
        </x:is>
      </x:c>
      <x:c r="AC17" s="47" t="str">
        <x:v>Prediction recorded before worker in planned/highlr-none.json. Independent GPU process. grad_p90=0.303937; mean clip fraction=0.000000.</x:v>
      </x:c>
      <x:c r="AD17" s="35" t="n">
        <x:f>IF(P17="","",P17-LN(7))</x:f>
        <x:v>0.32315163933839863</x:v>
      </x:c>
      <x:c r="AE17" s="35" t="n">
        <x:f>IF(OR(T17="",S17=""),"",T17-S17)</x:f>
        <x:v>0.017794880518517575</x:v>
      </x:c>
      <x:c r="AF17" s="35" t="n">
        <x:f>IF(OR(V17="",Seeds!$C$8=""),"",V17-Seeds!$C$8)</x:f>
        <x:v>-0.08033485502329207</x:v>
      </x:c>
      <x:c r="AG17" s="35" t="str">
        <x:f>IF(OR(AF17="",Seeds!$C$10=""),"",IF(ABS(AF17)&gt;Seeds!$C$10,"Có","Không"))</x:f>
        <x:v>Có</x:v>
      </x:c>
    </x:row>
    <x:row r="18" s="20" customFormat="1" ht="24" hidden="0" customHeight="1">
      <x:c r="A18" s="33" t="inlineStr">
        <x:is>
          <x:t xml:space="preserve">init-normal</x:t>
        </x:is>
      </x:c>
      <x:c r="B18" s="33" t="inlineStr">
        <x:is>
          <x:t xml:space="preserve">initialization</x:t>
        </x:is>
      </x:c>
      <x:c r="C18" s="47" t="inlineStr">
        <x:is>
          <x:t xml:space="preserve">He giữ tín hiệu qua ReLU tốt hơn normal nhỏ; zeros không phá đối xứng và gradient hidden bằng 0.</x:t>
        </x:is>
      </x:c>
      <x:c r="D18" s="33" t="inlineStr">
        <x:is>
          <x:t xml:space="preserve">ce</x:t>
        </x:is>
      </x:c>
      <x:c r="E18" s="33" t="inlineStr">
        <x:is>
          <x:t xml:space="preserve">sgd_momentum</x:t>
        </x:is>
      </x:c>
      <x:c r="F18" s="33" t="n">
        <x:v>0.1</x:v>
      </x:c>
      <x:c r="G18" s="33" t="n">
        <x:v>0</x:v>
      </x:c>
      <x:c r="H18" s="33" t="n">
        <x:v>512</x:v>
      </x:c>
      <x:c r="I18" s="33" t="n">
        <x:v>20</x:v>
      </x:c>
      <x:c r="J18" s="33" t="inlineStr">
        <x:is>
          <x:t xml:space="preserve">256-128</x:t>
        </x:is>
      </x:c>
      <x:c r="K18" s="33" t="n">
        <x:v>0</x:v>
      </x:c>
      <x:c r="L18" s="33" t="n"/>
      <x:c r="M18" s="33" t="inlineStr">
        <x:is>
          <x:t xml:space="preserve">fp32</x:t>
        </x:is>
      </x:c>
      <x:c r="N18" s="33" t="inlineStr">
        <x:is>
          <x:t xml:space="preserve">normal</x:t>
        </x:is>
      </x:c>
      <x:c r="O18" s="33" t="n">
        <x:v>1</x:v>
      </x:c>
      <x:c r="P18" s="34" t="n">
        <x:v>1.945995658844474</x:v>
      </x:c>
      <x:c r="Q18" s="34" t="n">
        <x:v>0.2339697460492089</x:v>
      </x:c>
      <x:c r="R18" s="33" t="n">
        <x:v>20</x:v>
      </x:c>
      <x:c r="S18" s="34" t="n">
        <x:v>0.2125945053431124</x:v>
      </x:c>
      <x:c r="T18" s="34" t="n">
        <x:v>0.2339697460492089</x:v>
      </x:c>
      <x:c r="U18" s="34" t="n">
        <x:v>0.9046276973386975</x:v>
      </x:c>
      <x:c r="V18" s="34" t="n">
        <x:v>0.8449007627822941</x:v>
      </x:c>
      <x:c r="W18" s="49" t="n">
        <x:v>1.305649247450015</x:v>
      </x:c>
      <x:c r="X18" s="49" t="n">
        <x:v>160.59375</x:v>
      </x:c>
      <x:c r="Y18" s="33" t="b">
        <x:v>0</x:v>
      </x:c>
      <x:c r="Z18" s="34" t="n"/>
      <x:c r="AA18" s="34" t="n"/>
      <x:c r="AB18" s="33" t="inlineStr">
        <x:is>
          <x:t xml:space="preserve">figures/init-normal.png</x:t>
        </x:is>
      </x:c>
      <x:c r="AC18" s="47" t="str">
        <x:v>Prediction recorded before worker in planned/init-normal.json. Independent GPU process. grad_p90=0.748205; mean clip fraction=0.000000.</x:v>
      </x:c>
      <x:c r="AD18" s="35" t="n">
        <x:f>IF(P18="","",P18-LN(7))</x:f>
        <x:v>0.0000855097891607759</x:v>
      </x:c>
      <x:c r="AE18" s="35" t="n">
        <x:f>IF(OR(T18="",S18=""),"",T18-S18)</x:f>
        <x:v>0.021375240706096504</x:v>
      </x:c>
      <x:c r="AF18" s="35" t="n">
        <x:f>IF(OR(V18="",Seeds!$C$8=""),"",V18-Seeds!$C$8)</x:f>
        <x:v>-0.008609576945954434</x:v>
      </x:c>
      <x:c r="AG18" s="35" t="str">
        <x:f>IF(OR(AF18="",Seeds!$C$10=""),"",IF(ABS(AF18)&gt;Seeds!$C$10,"Có","Không"))</x:f>
        <x:v>Không</x:v>
      </x:c>
    </x:row>
    <x:row r="19" s="20" customFormat="1" ht="24" hidden="0" customHeight="1">
      <x:c r="A19" s="33" t="inlineStr">
        <x:is>
          <x:t xml:space="preserve">init-xavier</x:t>
        </x:is>
      </x:c>
      <x:c r="B19" s="33" t="inlineStr">
        <x:is>
          <x:t xml:space="preserve">initialization</x:t>
        </x:is>
      </x:c>
      <x:c r="C19" s="47" t="inlineStr">
        <x:is>
          <x:t xml:space="preserve">He giữ tín hiệu qua ReLU tốt hơn normal nhỏ; zeros không phá đối xứng và gradient hidden bằng 0.</x:t>
        </x:is>
      </x:c>
      <x:c r="D19" s="33" t="inlineStr">
        <x:is>
          <x:t xml:space="preserve">ce</x:t>
        </x:is>
      </x:c>
      <x:c r="E19" s="33" t="inlineStr">
        <x:is>
          <x:t xml:space="preserve">sgd_momentum</x:t>
        </x:is>
      </x:c>
      <x:c r="F19" s="33" t="n">
        <x:v>0.1</x:v>
      </x:c>
      <x:c r="G19" s="33" t="n">
        <x:v>0</x:v>
      </x:c>
      <x:c r="H19" s="33" t="n">
        <x:v>512</x:v>
      </x:c>
      <x:c r="I19" s="33" t="n">
        <x:v>20</x:v>
      </x:c>
      <x:c r="J19" s="33" t="inlineStr">
        <x:is>
          <x:t xml:space="preserve">256-128</x:t>
        </x:is>
      </x:c>
      <x:c r="K19" s="33" t="n">
        <x:v>0</x:v>
      </x:c>
      <x:c r="L19" s="33" t="n"/>
      <x:c r="M19" s="33" t="inlineStr">
        <x:is>
          <x:t xml:space="preserve">fp32</x:t>
        </x:is>
      </x:c>
      <x:c r="N19" s="33" t="inlineStr">
        <x:is>
          <x:t xml:space="preserve">xavier</x:t>
        </x:is>
      </x:c>
      <x:c r="O19" s="33" t="n">
        <x:v>1</x:v>
      </x:c>
      <x:c r="P19" s="34" t="n">
        <x:v>2.022176189935135</x:v>
      </x:c>
      <x:c r="Q19" s="34" t="n">
        <x:v>0.2317417757264057</x:v>
      </x:c>
      <x:c r="R19" s="33" t="n">
        <x:v>17</x:v>
      </x:c>
      <x:c r="S19" s="34" t="n">
        <x:v>0.215736884474663</x:v>
      </x:c>
      <x:c r="T19" s="34" t="n">
        <x:v>0.2357558486809462</x:v>
      </x:c>
      <x:c r="U19" s="34" t="n">
        <x:v>0.9072309115552591</x:v>
      </x:c>
      <x:c r="V19" s="34" t="n">
        <x:v>0.8514344709948414</x:v>
      </x:c>
      <x:c r="W19" s="49" t="n">
        <x:v>1.311863490699977</x:v>
      </x:c>
      <x:c r="X19" s="49" t="n">
        <x:v>160.59375</x:v>
      </x:c>
      <x:c r="Y19" s="33" t="b">
        <x:v>0</x:v>
      </x:c>
      <x:c r="Z19" s="34" t="n"/>
      <x:c r="AA19" s="34" t="n"/>
      <x:c r="AB19" s="33" t="inlineStr">
        <x:is>
          <x:t xml:space="preserve">figures/init-xavier.png</x:t>
        </x:is>
      </x:c>
      <x:c r="AC19" s="47" t="str">
        <x:v>Prediction recorded before worker in planned/init-xavier.json. Independent GPU process. grad_p90=0.720357; mean clip fraction=0.000000.</x:v>
      </x:c>
      <x:c r="AD19" s="35" t="n">
        <x:f>IF(P19="","",P19-LN(7))</x:f>
        <x:v>0.07626604087982192</x:v>
      </x:c>
      <x:c r="AE19" s="35" t="n">
        <x:f>IF(OR(T19="",S19=""),"",T19-S19)</x:f>
        <x:v>0.020018964206283213</x:v>
      </x:c>
      <x:c r="AF19" s="35" t="n">
        <x:f>IF(OR(V19="",Seeds!$C$8=""),"",V19-Seeds!$C$8)</x:f>
        <x:v>-0.002075868733407149</x:v>
      </x:c>
      <x:c r="AG19" s="35" t="str">
        <x:f>IF(OR(AF19="",Seeds!$C$10=""),"",IF(ABS(AF19)&gt;Seeds!$C$10,"Có","Không"))</x:f>
        <x:v>Không</x:v>
      </x:c>
    </x:row>
    <x:row r="20" s="20" customFormat="1" ht="24" hidden="0" customHeight="1">
      <x:c r="A20" s="33" t="inlineStr">
        <x:is>
          <x:t xml:space="preserve">init-zeros</x:t>
        </x:is>
      </x:c>
      <x:c r="B20" s="33" t="inlineStr">
        <x:is>
          <x:t xml:space="preserve">initialization</x:t>
        </x:is>
      </x:c>
      <x:c r="C20" s="47" t="inlineStr">
        <x:is>
          <x:t xml:space="preserve">He giữ tín hiệu qua ReLU tốt hơn normal nhỏ; zeros không phá đối xứng và gradient hidden bằng 0.</x:t>
        </x:is>
      </x:c>
      <x:c r="D20" s="33" t="inlineStr">
        <x:is>
          <x:t xml:space="preserve">ce</x:t>
        </x:is>
      </x:c>
      <x:c r="E20" s="33" t="inlineStr">
        <x:is>
          <x:t xml:space="preserve">sgd_momentum</x:t>
        </x:is>
      </x:c>
      <x:c r="F20" s="33" t="n">
        <x:v>0.1</x:v>
      </x:c>
      <x:c r="G20" s="33" t="n">
        <x:v>0</x:v>
      </x:c>
      <x:c r="H20" s="33" t="n">
        <x:v>512</x:v>
      </x:c>
      <x:c r="I20" s="33" t="n">
        <x:v>20</x:v>
      </x:c>
      <x:c r="J20" s="33" t="inlineStr">
        <x:is>
          <x:t xml:space="preserve">256-128</x:t>
        </x:is>
      </x:c>
      <x:c r="K20" s="33" t="n">
        <x:v>0</x:v>
      </x:c>
      <x:c r="L20" s="33" t="n"/>
      <x:c r="M20" s="33" t="inlineStr">
        <x:is>
          <x:t xml:space="preserve">fp32</x:t>
        </x:is>
      </x:c>
      <x:c r="N20" s="33" t="inlineStr">
        <x:is>
          <x:t xml:space="preserve">zeros</x:t>
        </x:is>
      </x:c>
      <x:c r="O20" s="33" t="n">
        <x:v>1</x:v>
      </x:c>
      <x:c r="P20" s="34" t="n">
        <x:v>1.945909990859841</x:v>
      </x:c>
      <x:c r="Q20" s="34" t="n">
        <x:v>1.205200765206818</x:v>
      </x:c>
      <x:c r="R20" s="33" t="n">
        <x:v>10</x:v>
      </x:c>
      <x:c r="S20" s="34" t="n">
        <x:v>1.205217598474221</x:v>
      </x:c>
      <x:c r="T20" s="34" t="n">
        <x:v>1.20521924869167</x:v>
      </x:c>
      <x:c r="U20" s="34" t="n">
        <x:v>0.4875970826789441</x:v>
      </x:c>
      <x:c r="V20" s="34" t="n">
        <x:v>0.09364999018625454</x:v>
      </x:c>
      <x:c r="W20" s="49" t="n">
        <x:v>1.318535833500016</x:v>
      </x:c>
      <x:c r="X20" s="49" t="n">
        <x:v>160.59375</x:v>
      </x:c>
      <x:c r="Y20" s="33" t="b">
        <x:v>0</x:v>
      </x:c>
      <x:c r="Z20" s="34" t="n"/>
      <x:c r="AA20" s="34" t="n"/>
      <x:c r="AB20" s="33" t="inlineStr">
        <x:is>
          <x:t xml:space="preserve">figures/init-zeros.png</x:t>
        </x:is>
      </x:c>
      <x:c r="AC20" s="47" t="str">
        <x:v>Prediction recorded before worker in planned/init-zeros.json. Independent GPU process. grad_p90=0.056345; mean clip fraction=0.000000.</x:v>
      </x:c>
      <x:c r="AD20" s="35" t="n">
        <x:f>IF(P20="","",P20-LN(7))</x:f>
        <x:v>-1.5819547227735598e-7</x:v>
      </x:c>
      <x:c r="AE20" s="35" t="n">
        <x:f>IF(OR(T20="",S20=""),"",T20-S20)</x:f>
        <x:v>0.000001650217448911917</x:v>
      </x:c>
      <x:c r="AF20" s="35" t="n">
        <x:f>IF(OR(V20="",Seeds!$C$8=""),"",V20-Seeds!$C$8)</x:f>
        <x:v>-0.759860349541994</x:v>
      </x:c>
      <x:c r="AG20" s="35" t="str">
        <x:f>IF(OR(AF20="",Seeds!$C$10=""),"",IF(ABS(AF20)&gt;Seeds!$C$10,"Có","Không"))</x:f>
        <x:v>Có</x:v>
      </x:c>
    </x:row>
    <x:row r="21" s="20" customFormat="1" ht="24" hidden="0" customHeight="1">
      <x:c r="A21" s="33" t="inlineStr">
        <x:is>
          <x:t xml:space="preserve">loss-mse</x:t>
        </x:is>
      </x:c>
      <x:c r="B21" s="33" t="inlineStr">
        <x:is>
          <x:t xml:space="preserve">loss</x:t>
        </x:is>
      </x:c>
      <x:c r="C21" s="47" t="inlineStr">
        <x:is>
          <x:t xml:space="preserve">CE phù hợp phân lớp hơn MSE logits/one-hot; chỉ so accuracy/F1, không so trị số loss khác thang.</x:t>
        </x:is>
      </x:c>
      <x:c r="D21" s="33" t="inlineStr">
        <x:is>
          <x:t xml:space="preserve">mse</x:t>
        </x:is>
      </x:c>
      <x:c r="E21" s="33" t="inlineStr">
        <x:is>
          <x:t xml:space="preserve">sgd_momentum</x:t>
        </x:is>
      </x:c>
      <x:c r="F21" s="33" t="n">
        <x:v>0.1</x:v>
      </x:c>
      <x:c r="G21" s="33" t="n">
        <x:v>0</x:v>
      </x:c>
      <x:c r="H21" s="33" t="n">
        <x:v>512</x:v>
      </x:c>
      <x:c r="I21" s="33" t="n">
        <x:v>20</x:v>
      </x:c>
      <x:c r="J21" s="33" t="inlineStr">
        <x:is>
          <x:t xml:space="preserve">256-128</x:t>
        </x:is>
      </x:c>
      <x:c r="K21" s="33" t="n">
        <x:v>0</x:v>
      </x:c>
      <x:c r="L21" s="33" t="n"/>
      <x:c r="M21" s="33" t="inlineStr">
        <x:is>
          <x:t xml:space="preserve">fp32</x:t>
        </x:is>
      </x:c>
      <x:c r="N21" s="33" t="inlineStr">
        <x:is>
          <x:t xml:space="preserve">he</x:t>
        </x:is>
      </x:c>
      <x:c r="O21" s="33" t="n">
        <x:v>1</x:v>
      </x:c>
      <x:c r="P21" s="34" t="n">
        <x:v>0.6358503211013448</x:v>
      </x:c>
      <x:c r="Q21" s="34" t="n">
        <x:v>0.02933052455822363</x:v>
      </x:c>
      <x:c r="R21" s="33" t="n">
        <x:v>20</x:v>
      </x:c>
      <x:c r="S21" s="34" t="n">
        <x:v>0.02836624454859914</x:v>
      </x:c>
      <x:c r="T21" s="34" t="n">
        <x:v>0.02933052455822363</x:v>
      </x:c>
      <x:c r="U21" s="34" t="n">
        <x:v>0.8705062283513694</x:v>
      </x:c>
      <x:c r="V21" s="34" t="n">
        <x:v>0.7276654739925651</x:v>
      </x:c>
      <x:c r="W21" s="49" t="n">
        <x:v>1.361007908000005</x:v>
      </x:c>
      <x:c r="X21" s="49" t="n">
        <x:v>160.59716796875</x:v>
      </x:c>
      <x:c r="Y21" s="33" t="b">
        <x:v>0</x:v>
      </x:c>
      <x:c r="Z21" s="34" t="n"/>
      <x:c r="AA21" s="34" t="n"/>
      <x:c r="AB21" s="33" t="inlineStr">
        <x:is>
          <x:t xml:space="preserve">figures/loss-mse.png</x:t>
        </x:is>
      </x:c>
      <x:c r="AC21" s="47" t="str">
        <x:v>Prediction recorded before worker in planned/loss-mse.json. Independent GPU process. grad_p90=0.114037; mean clip fraction=0.000000.</x:v>
      </x:c>
      <x:c r="AD21" s="35" t="n">
        <x:f>IF(P21="","",P21-LN(7))</x:f>
        <x:v>-1.3100598279539684</x:v>
      </x:c>
      <x:c r="AE21" s="35" t="n">
        <x:f>IF(OR(T21="",S21=""),"",T21-S21)</x:f>
        <x:v>0.0009642800096244901</x:v>
      </x:c>
      <x:c r="AF21" s="35" t="n">
        <x:f>IF(OR(V21="",Seeds!$C$8=""),"",V21-Seeds!$C$8)</x:f>
        <x:v>-0.12584486573568343</x:v>
      </x:c>
      <x:c r="AG21" s="35" t="str">
        <x:f>IF(OR(AF21="",Seeds!$C$10=""),"",IF(ABS(AF21)&gt;Seeds!$C$10,"Có","Không"))</x:f>
        <x:v>Có</x:v>
      </x:c>
    </x:row>
    <x:row r="22" s="20" customFormat="1" ht="24" hidden="0" customHeight="1">
      <x:c r="A22" s="33" t="inlineStr">
        <x:is>
          <x:t xml:space="preserve">precision-bf16</x:t>
        </x:is>
      </x:c>
      <x:c r="B22" s="33" t="inlineStr">
        <x:is>
          <x:t xml:space="preserve">mixed_precision</x:t>
        </x:is>
      </x:c>
      <x:c r="C22" s="47" t="inlineStr">
        <x:is>
          <x:t xml:space="preserve">FP16/BF16 có thể không nhanh hơn với MLP nhỏ; T4 không có BF16 native, nên tốc độ BF16 chỉ là số đo emulation.</x:t>
        </x:is>
      </x:c>
      <x:c r="D22" s="33" t="inlineStr">
        <x:is>
          <x:t xml:space="preserve">ce</x:t>
        </x:is>
      </x:c>
      <x:c r="E22" s="33" t="inlineStr">
        <x:is>
          <x:t xml:space="preserve">sgd_momentum</x:t>
        </x:is>
      </x:c>
      <x:c r="F22" s="33" t="n">
        <x:v>0.1</x:v>
      </x:c>
      <x:c r="G22" s="33" t="n">
        <x:v>0</x:v>
      </x:c>
      <x:c r="H22" s="33" t="n">
        <x:v>512</x:v>
      </x:c>
      <x:c r="I22" s="33" t="n">
        <x:v>20</x:v>
      </x:c>
      <x:c r="J22" s="33" t="inlineStr">
        <x:is>
          <x:t xml:space="preserve">256-128</x:t>
        </x:is>
      </x:c>
      <x:c r="K22" s="33" t="n">
        <x:v>0</x:v>
      </x:c>
      <x:c r="L22" s="33" t="n"/>
      <x:c r="M22" s="33" t="inlineStr">
        <x:is>
          <x:t xml:space="preserve">bf16</x:t>
        </x:is>
      </x:c>
      <x:c r="N22" s="33" t="inlineStr">
        <x:is>
          <x:t xml:space="preserve">he</x:t>
        </x:is>
      </x:c>
      <x:c r="O22" s="33" t="n">
        <x:v>1</x:v>
      </x:c>
      <x:c r="P22" s="34" t="n">
        <x:v>2.269061788393712</x:v>
      </x:c>
      <x:c r="Q22" s="34" t="n">
        <x:v>0.2367006277546118</x:v>
      </x:c>
      <x:c r="R22" s="33" t="n">
        <x:v>18</x:v>
      </x:c>
      <x:c r="S22" s="34" t="n">
        <x:v>0.2134287808364079</x:v>
      </x:c>
      <x:c r="T22" s="34" t="n">
        <x:v>0.2374560404007484</x:v>
      </x:c>
      <x:c r="U22" s="34" t="n">
        <x:v>0.9055635636066349</x:v>
      </x:c>
      <x:c r="V22" s="34" t="n">
        <x:v>0.8366261256178422</x:v>
      </x:c>
      <x:c r="W22" s="49" t="n">
        <x:v>1.548157692399991</x:v>
      </x:c>
      <x:c r="X22" s="49" t="n">
        <x:v>160.59375</x:v>
      </x:c>
      <x:c r="Y22" s="33" t="b">
        <x:v>0</x:v>
      </x:c>
      <x:c r="Z22" s="34" t="n"/>
      <x:c r="AA22" s="34" t="n"/>
      <x:c r="AB22" s="33" t="inlineStr">
        <x:is>
          <x:t xml:space="preserve">figures/precision-bf16.png</x:t>
        </x:is>
      </x:c>
      <x:c r="AC22" s="47" t="str">
        <x:v>Prediction recorded before worker in planned/precision-bf16.json. Independent GPU process. grad_p90=0.693962; mean clip fraction=0.000000.</x:v>
      </x:c>
      <x:c r="AD22" s="35" t="n">
        <x:f>IF(P22="","",P22-LN(7))</x:f>
        <x:v>0.32315163933839863</x:v>
      </x:c>
      <x:c r="AE22" s="35" t="n">
        <x:f>IF(OR(T22="",S22=""),"",T22-S22)</x:f>
        <x:v>0.024027259564340514</x:v>
      </x:c>
      <x:c r="AF22" s="35" t="n">
        <x:f>IF(OR(V22="",Seeds!$C$8=""),"",V22-Seeds!$C$8)</x:f>
        <x:v>-0.016884214110406304</x:v>
      </x:c>
      <x:c r="AG22" s="35" t="str">
        <x:f>IF(OR(AF22="",Seeds!$C$10=""),"",IF(ABS(AF22)&gt;Seeds!$C$10,"Có","Không"))</x:f>
        <x:v>Không</x:v>
      </x:c>
    </x:row>
    <x:row r="23" s="20" customFormat="1" ht="36" hidden="0" customHeight="1">
      <x:c r="A23" s="33" t="inlineStr">
        <x:is>
          <x:t xml:space="preserve">precision-fp16</x:t>
        </x:is>
      </x:c>
      <x:c r="B23" s="33" t="inlineStr">
        <x:is>
          <x:t xml:space="preserve">mixed_precision</x:t>
        </x:is>
      </x:c>
      <x:c r="C23" s="47" t="inlineStr">
        <x:is>
          <x:t xml:space="preserve">FP16/BF16 có thể không nhanh hơn với MLP nhỏ; T4 không có BF16 native, nên tốc độ BF16 chỉ là số đo emulation.</x:t>
        </x:is>
      </x:c>
      <x:c r="D23" s="33" t="inlineStr">
        <x:is>
          <x:t xml:space="preserve">ce</x:t>
        </x:is>
      </x:c>
      <x:c r="E23" s="33" t="inlineStr">
        <x:is>
          <x:t xml:space="preserve">sgd_momentum</x:t>
        </x:is>
      </x:c>
      <x:c r="F23" s="33" t="n">
        <x:v>0.1</x:v>
      </x:c>
      <x:c r="G23" s="33" t="n">
        <x:v>0</x:v>
      </x:c>
      <x:c r="H23" s="33" t="n">
        <x:v>512</x:v>
      </x:c>
      <x:c r="I23" s="33" t="n">
        <x:v>20</x:v>
      </x:c>
      <x:c r="J23" s="33" t="inlineStr">
        <x:is>
          <x:t xml:space="preserve">256-128</x:t>
        </x:is>
      </x:c>
      <x:c r="K23" s="33" t="n">
        <x:v>0</x:v>
      </x:c>
      <x:c r="L23" s="33" t="n"/>
      <x:c r="M23" s="33" t="inlineStr">
        <x:is>
          <x:t xml:space="preserve">fp16</x:t>
        </x:is>
      </x:c>
      <x:c r="N23" s="33" t="inlineStr">
        <x:is>
          <x:t xml:space="preserve">he</x:t>
        </x:is>
      </x:c>
      <x:c r="O23" s="33" t="n">
        <x:v>1</x:v>
      </x:c>
      <x:c r="P23" s="34" t="n">
        <x:v>2.269061788393712</x:v>
      </x:c>
      <x:c r="Q23" s="34" t="n">
        <x:v>0.2359490842181735</x:v>
      </x:c>
      <x:c r="R23" s="33" t="n">
        <x:v>20</x:v>
      </x:c>
      <x:c r="S23" s="34" t="n">
        <x:v>0.2123942238831071</x:v>
      </x:c>
      <x:c r="T23" s="34" t="n">
        <x:v>0.2359490842181735</x:v>
      </x:c>
      <x:c r="U23" s="34" t="n">
        <x:v>0.905165551515673</x:v>
      </x:c>
      <x:c r="V23" s="34" t="n">
        <x:v>0.8515042026567495</x:v>
      </x:c>
      <x:c r="W23" s="49" t="n">
        <x:v>1.747236514800011</x:v>
      </x:c>
      <x:c r="X23" s="49" t="n">
        <x:v>160.5947265625</x:v>
      </x:c>
      <x:c r="Y23" s="33" t="b">
        <x:v>0</x:v>
      </x:c>
      <x:c r="Z23" s="34" t="n"/>
      <x:c r="AA23" s="34" t="n"/>
      <x:c r="AB23" s="33" t="inlineStr">
        <x:is>
          <x:t xml:space="preserve">figures/precision-fp16.png</x:t>
        </x:is>
      </x:c>
      <x:c r="AC23" s="47" t="str">
        <x:v>Prediction recorded before worker in planned/precision-fp16.json. Independent GPU process. grad_p90=0.687714; mean clip fraction=0.000000. AMP gradient overflow; loss finite, GradScaler skips unsafe updates. Missing gradient mean epochs: {"grad_norm":[12,15,19]}.</x:v>
      </x:c>
      <x:c r="AD23" s="35" t="n">
        <x:f>IF(P23="","",P23-LN(7))</x:f>
        <x:v>0.32315163933839863</x:v>
      </x:c>
      <x:c r="AE23" s="35" t="n">
        <x:f>IF(OR(T23="",S23=""),"",T23-S23)</x:f>
        <x:v>0.023554860335066402</x:v>
      </x:c>
      <x:c r="AF23" s="35" t="n">
        <x:f>IF(OR(V23="",Seeds!$C$8=""),"",V23-Seeds!$C$8)</x:f>
        <x:v>-0.0020061370714989923</x:v>
      </x:c>
      <x:c r="AG23" s="35" t="str">
        <x:f>IF(OR(AF23="",Seeds!$C$10=""),"",IF(ABS(AF23)&gt;Seeds!$C$10,"Có","Không"))</x:f>
        <x:v>Không</x:v>
      </x:c>
    </x:row>
    <x:row r="24" s="20" customFormat="1" ht="24" hidden="0" customHeight="1">
      <x:c r="A24" s="33" t="inlineStr">
        <x:is>
          <x:t xml:space="preserve">sgdm-lr0.01</x:t>
        </x:is>
      </x:c>
      <x:c r="B24" s="33" t="inlineStr">
        <x:is>
          <x:t xml:space="preserve">baseline</x:t>
        </x:is>
      </x:c>
      <x:c r="C24" s="47" t="inlineStr">
        <x:is>
          <x:t xml:space="preserve">SGD momentum: lr thấp học chậm, lr cao có thể dao động; chọn lr bằng F1 val tại epoch min val loss.</x:t>
        </x:is>
      </x:c>
      <x:c r="D24" s="33" t="inlineStr">
        <x:is>
          <x:t xml:space="preserve">ce</x:t>
        </x:is>
      </x:c>
      <x:c r="E24" s="33" t="inlineStr">
        <x:is>
          <x:t xml:space="preserve">sgd_momentum</x:t>
        </x:is>
      </x:c>
      <x:c r="F24" s="33" t="n">
        <x:v>0.01</x:v>
      </x:c>
      <x:c r="G24" s="33" t="n">
        <x:v>0</x:v>
      </x:c>
      <x:c r="H24" s="33" t="n">
        <x:v>512</x:v>
      </x:c>
      <x:c r="I24" s="33" t="n">
        <x:v>20</x:v>
      </x:c>
      <x:c r="J24" s="33" t="inlineStr">
        <x:is>
          <x:t xml:space="preserve">256-128</x:t>
        </x:is>
      </x:c>
      <x:c r="K24" s="33" t="n">
        <x:v>0</x:v>
      </x:c>
      <x:c r="L24" s="33" t="n"/>
      <x:c r="M24" s="33" t="inlineStr">
        <x:is>
          <x:t xml:space="preserve">fp32</x:t>
        </x:is>
      </x:c>
      <x:c r="N24" s="33" t="inlineStr">
        <x:is>
          <x:t xml:space="preserve">he</x:t>
        </x:is>
      </x:c>
      <x:c r="O24" s="33" t="n">
        <x:v>1</x:v>
      </x:c>
      <x:c r="P24" s="34" t="n">
        <x:v>2.269061788393712</x:v>
      </x:c>
      <x:c r="Q24" s="34" t="n">
        <x:v>0.3109734395841849</x:v>
      </x:c>
      <x:c r="R24" s="33" t="n">
        <x:v>20</x:v>
      </x:c>
      <x:c r="S24" s="34" t="n">
        <x:v>0.2997025162698175</x:v>
      </x:c>
      <x:c r="T24" s="34" t="n">
        <x:v>0.3109734395841849</x:v>
      </x:c>
      <x:c r="U24" s="34" t="n">
        <x:v>0.8746692196811601</x:v>
      </x:c>
      <x:c r="V24" s="34" t="n">
        <x:v>0.7612533557248951</x:v>
      </x:c>
      <x:c r="W24" s="49" t="n">
        <x:v>1.334799609499987</x:v>
      </x:c>
      <x:c r="X24" s="49" t="n">
        <x:v>160.59375</x:v>
      </x:c>
      <x:c r="Y24" s="33" t="b">
        <x:v>0</x:v>
      </x:c>
      <x:c r="Z24" s="34" t="n"/>
      <x:c r="AA24" s="34" t="n"/>
      <x:c r="AB24" s="33" t="inlineStr">
        <x:is>
          <x:t xml:space="preserve">figures/sgdm-lr0.01.png</x:t>
        </x:is>
      </x:c>
      <x:c r="AC24" s="47" t="str">
        <x:v>Prediction recorded before worker in planned/sgdm-lr0.01.json. Independent GPU process. grad_p90=1.654977; mean clip fraction=0.000000.</x:v>
      </x:c>
      <x:c r="AD24" s="35" t="n">
        <x:f>IF(P24="","",P24-LN(7))</x:f>
        <x:v>0.32315163933839863</x:v>
      </x:c>
      <x:c r="AE24" s="35" t="n">
        <x:f>IF(OR(T24="",S24=""),"",T24-S24)</x:f>
        <x:v>0.01127092331436741</x:v>
      </x:c>
      <x:c r="AF24" s="35" t="n">
        <x:f>IF(OR(V24="",Seeds!$C$8=""),"",V24-Seeds!$C$8)</x:f>
        <x:v>-0.09225698400335347</x:v>
      </x:c>
      <x:c r="AG24" s="35" t="str">
        <x:f>IF(OR(AF24="",Seeds!$C$10=""),"",IF(ABS(AF24)&gt;Seeds!$C$10,"Có","Không"))</x:f>
        <x:v>Có</x:v>
      </x:c>
    </x:row>
    <x:row r="25" s="20" customFormat="1" ht="24" hidden="0" customHeight="1">
      <x:c r="A25" s="33" t="inlineStr">
        <x:is>
          <x:t xml:space="preserve">sgdm-lr0.05</x:t>
        </x:is>
      </x:c>
      <x:c r="B25" s="33" t="inlineStr">
        <x:is>
          <x:t xml:space="preserve">baseline</x:t>
        </x:is>
      </x:c>
      <x:c r="C25" s="47" t="inlineStr">
        <x:is>
          <x:t xml:space="preserve">SGD momentum: lr thấp học chậm, lr cao có thể dao động; chọn lr bằng F1 val tại epoch min val loss.</x:t>
        </x:is>
      </x:c>
      <x:c r="D25" s="33" t="inlineStr">
        <x:is>
          <x:t xml:space="preserve">ce</x:t>
        </x:is>
      </x:c>
      <x:c r="E25" s="33" t="inlineStr">
        <x:is>
          <x:t xml:space="preserve">sgd_momentum</x:t>
        </x:is>
      </x:c>
      <x:c r="F25" s="33" t="n">
        <x:v>0.05</x:v>
      </x:c>
      <x:c r="G25" s="33" t="n">
        <x:v>0</x:v>
      </x:c>
      <x:c r="H25" s="33" t="n">
        <x:v>512</x:v>
      </x:c>
      <x:c r="I25" s="33" t="n">
        <x:v>20</x:v>
      </x:c>
      <x:c r="J25" s="33" t="inlineStr">
        <x:is>
          <x:t xml:space="preserve">256-128</x:t>
        </x:is>
      </x:c>
      <x:c r="K25" s="33" t="n">
        <x:v>0</x:v>
      </x:c>
      <x:c r="L25" s="33" t="n"/>
      <x:c r="M25" s="33" t="inlineStr">
        <x:is>
          <x:t xml:space="preserve">fp32</x:t>
        </x:is>
      </x:c>
      <x:c r="N25" s="33" t="inlineStr">
        <x:is>
          <x:t xml:space="preserve">he</x:t>
        </x:is>
      </x:c>
      <x:c r="O25" s="33" t="n">
        <x:v>1</x:v>
      </x:c>
      <x:c r="P25" s="34" t="n">
        <x:v>2.269061788393712</x:v>
      </x:c>
      <x:c r="Q25" s="34" t="n">
        <x:v>0.2487494365137099</x:v>
      </x:c>
      <x:c r="R25" s="33" t="n">
        <x:v>18</x:v>
      </x:c>
      <x:c r="S25" s="34" t="n">
        <x:v>0.2328529836482331</x:v>
      </x:c>
      <x:c r="T25" s="34" t="n">
        <x:v>0.2541595102472146</x:v>
      </x:c>
      <x:c r="U25" s="34" t="n">
        <x:v>0.8999591230825499</x:v>
      </x:c>
      <x:c r="V25" s="34" t="n">
        <x:v>0.8351405542256746</x:v>
      </x:c>
      <x:c r="W25" s="49" t="n">
        <x:v>1.341872369199996</x:v>
      </x:c>
      <x:c r="X25" s="49" t="n">
        <x:v>160.59375</x:v>
      </x:c>
      <x:c r="Y25" s="33" t="b">
        <x:v>0</x:v>
      </x:c>
      <x:c r="Z25" s="34" t="n"/>
      <x:c r="AA25" s="34" t="n"/>
      <x:c r="AB25" s="33" t="inlineStr">
        <x:is>
          <x:t xml:space="preserve">figures/sgdm-lr0.05.png</x:t>
        </x:is>
      </x:c>
      <x:c r="AC25" s="47" t="str">
        <x:v>Prediction recorded before worker in planned/sgdm-lr0.05.json. Independent GPU process. grad_p90=1.019520; mean clip fraction=0.000000.</x:v>
      </x:c>
      <x:c r="AD25" s="35" t="n">
        <x:f>IF(P25="","",P25-LN(7))</x:f>
        <x:v>0.32315163933839863</x:v>
      </x:c>
      <x:c r="AE25" s="35" t="n">
        <x:f>IF(OR(T25="",S25=""),"",T25-S25)</x:f>
        <x:v>0.021306526598981523</x:v>
      </x:c>
      <x:c r="AF25" s="35" t="n">
        <x:f>IF(OR(V25="",Seeds!$C$8=""),"",V25-Seeds!$C$8)</x:f>
        <x:v>-0.018369785502573954</x:v>
      </x:c>
      <x:c r="AG25" s="35" t="str">
        <x:f>IF(OR(AF25="",Seeds!$C$10=""),"",IF(ABS(AF25)&gt;Seeds!$C$10,"Có","Không"))</x:f>
        <x:v>Không</x:v>
      </x:c>
    </x:row>
    <x:row r="26" s="20" customFormat="1" ht="24" hidden="0" customHeight="1">
      <x:c r="A26" s="33" t="inlineStr">
        <x:is>
          <x:t xml:space="preserve">sgdm-lr0.1</x:t>
        </x:is>
      </x:c>
      <x:c r="B26" s="33" t="inlineStr">
        <x:is>
          <x:t xml:space="preserve">baseline</x:t>
        </x:is>
      </x:c>
      <x:c r="C26" s="47" t="inlineStr">
        <x:is>
          <x:t xml:space="preserve">SGD momentum: lr thấp học chậm, lr cao có thể dao động; chọn lr bằng F1 val tại epoch min val loss.</x:t>
        </x:is>
      </x:c>
      <x:c r="D26" s="33" t="inlineStr">
        <x:is>
          <x:t xml:space="preserve">ce</x:t>
        </x:is>
      </x:c>
      <x:c r="E26" s="33" t="inlineStr">
        <x:is>
          <x:t xml:space="preserve">sgd_momentum</x:t>
        </x:is>
      </x:c>
      <x:c r="F26" s="33" t="n">
        <x:v>0.1</x:v>
      </x:c>
      <x:c r="G26" s="33" t="n">
        <x:v>0</x:v>
      </x:c>
      <x:c r="H26" s="33" t="n">
        <x:v>512</x:v>
      </x:c>
      <x:c r="I26" s="33" t="n">
        <x:v>20</x:v>
      </x:c>
      <x:c r="J26" s="33" t="inlineStr">
        <x:is>
          <x:t xml:space="preserve">256-128</x:t>
        </x:is>
      </x:c>
      <x:c r="K26" s="33" t="n">
        <x:v>0</x:v>
      </x:c>
      <x:c r="L26" s="33" t="n"/>
      <x:c r="M26" s="33" t="inlineStr">
        <x:is>
          <x:t xml:space="preserve">fp32</x:t>
        </x:is>
      </x:c>
      <x:c r="N26" s="33" t="inlineStr">
        <x:is>
          <x:t xml:space="preserve">he</x:t>
        </x:is>
      </x:c>
      <x:c r="O26" s="33" t="n">
        <x:v>1</x:v>
      </x:c>
      <x:c r="P26" s="34" t="n">
        <x:v>2.269061788393712</x:v>
      </x:c>
      <x:c r="Q26" s="34" t="n">
        <x:v>0.2379235743460702</x:v>
      </x:c>
      <x:c r="R26" s="33" t="n">
        <x:v>18</x:v>
      </x:c>
      <x:c r="S26" s="34" t="n">
        <x:v>0.2208534015460324</x:v>
      </x:c>
      <x:c r="T26" s="34" t="n">
        <x:v>0.2425536006353739</x:v>
      </x:c>
      <x:c r="U26" s="34" t="n">
        <x:v>0.9053806931864633</x:v>
      </x:c>
      <x:c r="V26" s="34" t="n">
        <x:v>0.8390357563558714</x:v>
      </x:c>
      <x:c r="W26" s="49" t="n">
        <x:v>1.34452435555001</x:v>
      </x:c>
      <x:c r="X26" s="49" t="n">
        <x:v>160.59375</x:v>
      </x:c>
      <x:c r="Y26" s="33" t="b">
        <x:v>0</x:v>
      </x:c>
      <x:c r="Z26" s="34" t="n"/>
      <x:c r="AA26" s="34" t="n"/>
      <x:c r="AB26" s="33" t="inlineStr">
        <x:is>
          <x:t xml:space="preserve">figures/sgdm-lr0.1.png</x:t>
        </x:is>
      </x:c>
      <x:c r="AC26" s="47" t="str">
        <x:v>Prediction recorded before worker in planned/sgdm-lr0.1.json. Independent GPU process. grad_p90=0.696241; mean clip fraction=0.000000.</x:v>
      </x:c>
      <x:c r="AD26" s="35" t="n">
        <x:f>IF(P26="","",P26-LN(7))</x:f>
        <x:v>0.32315163933839863</x:v>
      </x:c>
      <x:c r="AE26" s="35" t="n">
        <x:f>IF(OR(T26="",S26=""),"",T26-S26)</x:f>
        <x:v>0.02170019908934151</x:v>
      </x:c>
      <x:c r="AF26" s="35" t="n">
        <x:f>IF(OR(V26="",Seeds!$C$8=""),"",V26-Seeds!$C$8)</x:f>
        <x:v>-0.01447458337237717</x:v>
      </x:c>
      <x:c r="AG26" s="35" t="str">
        <x:f>IF(OR(AF26="",Seeds!$C$10=""),"",IF(ABS(AF26)&gt;Seeds!$C$10,"Có","Không"))</x:f>
        <x:v>Không</x:v>
      </x:c>
    </x:row>
    <x:row r="27" s="20" customFormat="1" ht="15" customHeight="1">
      <x:c r="A27" s="33" t="n"/>
      <x:c r="B27" s="33" t="n"/>
      <x:c r="C27" s="33" t="n"/>
      <x:c r="D27" s="33" t="n"/>
      <x:c r="E27" s="33" t="n"/>
      <x:c r="F27" s="33" t="n"/>
      <x:c r="G27" s="33" t="n"/>
      <x:c r="H27" s="33" t="n"/>
      <x:c r="I27" s="33" t="n"/>
      <x:c r="J27" s="33" t="n"/>
      <x:c r="K27" s="33" t="n"/>
      <x:c r="L27" s="33" t="n"/>
      <x:c r="M27" s="33" t="n"/>
      <x:c r="N27" s="33" t="n"/>
      <x:c r="O27" s="33" t="n"/>
      <x:c r="P27" s="34" t="n"/>
      <x:c r="Q27" s="34" t="n"/>
      <x:c r="R27" s="33" t="n"/>
      <x:c r="S27" s="34" t="n"/>
      <x:c r="T27" s="34" t="n"/>
      <x:c r="U27" s="34" t="n"/>
      <x:c r="V27" s="34" t="n"/>
      <x:c r="W27" s="33" t="n"/>
      <x:c r="X27" s="33" t="n"/>
      <x:c r="Y27" s="33" t="n"/>
      <x:c r="Z27" s="34" t="n"/>
      <x:c r="AA27" s="34" t="n"/>
      <x:c r="AB27" s="33" t="n"/>
      <x:c r="AC27" s="33" t="n"/>
      <x:c r="AD27" s="35" t="str">
        <x:f>IF(P27="","",P27-LN(7))</x:f>
      </x:c>
      <x:c r="AE27" s="35" t="str">
        <x:f>IF(OR(T27="",S27=""),"",T27-S27)</x:f>
      </x:c>
      <x:c r="AF27" s="35" t="str">
        <x:f>IF(OR(V27="",Seeds!$C$8=""),"",V27-Seeds!$C$8)</x:f>
      </x:c>
      <x:c r="AG27" s="35" t="str">
        <x:f>IF(OR(AF27="",Seeds!$C$10=""),"",IF(ABS(AF27)&gt;Seeds!$C$10,"Có","Không"))</x:f>
      </x:c>
    </x:row>
    <x:row r="28" s="20" customFormat="1" ht="15" customHeight="1">
      <x:c r="A28" s="33" t="n"/>
      <x:c r="B28" s="33" t="n"/>
      <x:c r="C28" s="33" t="n"/>
      <x:c r="D28" s="33" t="n"/>
      <x:c r="E28" s="33" t="n"/>
      <x:c r="F28" s="33" t="n"/>
      <x:c r="G28" s="33" t="n"/>
      <x:c r="H28" s="33" t="n"/>
      <x:c r="I28" s="33" t="n"/>
      <x:c r="J28" s="33" t="n"/>
      <x:c r="K28" s="33" t="n"/>
      <x:c r="L28" s="33" t="n"/>
      <x:c r="M28" s="33" t="n"/>
      <x:c r="N28" s="33" t="n"/>
      <x:c r="O28" s="33" t="n"/>
      <x:c r="P28" s="34" t="n"/>
      <x:c r="Q28" s="34" t="n"/>
      <x:c r="R28" s="33" t="n"/>
      <x:c r="S28" s="34" t="n"/>
      <x:c r="T28" s="34" t="n"/>
      <x:c r="U28" s="34" t="n"/>
      <x:c r="V28" s="34" t="n"/>
      <x:c r="W28" s="33" t="n"/>
      <x:c r="X28" s="33" t="n"/>
      <x:c r="Y28" s="33" t="n"/>
      <x:c r="Z28" s="34" t="n"/>
      <x:c r="AA28" s="34" t="n"/>
      <x:c r="AB28" s="33" t="n"/>
      <x:c r="AC28" s="33" t="n"/>
      <x:c r="AD28" s="35" t="str">
        <x:f>IF(P28="","",P28-LN(7))</x:f>
      </x:c>
      <x:c r="AE28" s="35" t="str">
        <x:f>IF(OR(T28="",S28=""),"",T28-S28)</x:f>
      </x:c>
      <x:c r="AF28" s="35" t="str">
        <x:f>IF(OR(V28="",Seeds!$C$8=""),"",V28-Seeds!$C$8)</x:f>
      </x:c>
      <x:c r="AG28" s="35" t="str">
        <x:f>IF(OR(AF28="",Seeds!$C$10=""),"",IF(ABS(AF28)&gt;Seeds!$C$10,"Có","Không"))</x:f>
      </x:c>
    </x:row>
    <x:row r="29" s="20" customFormat="1" ht="15" customHeight="1">
      <x:c r="A29" s="33" t="n"/>
      <x:c r="B29" s="33" t="n"/>
      <x:c r="C29" s="33" t="n"/>
      <x:c r="D29" s="33" t="n"/>
      <x:c r="E29" s="33" t="n"/>
      <x:c r="F29" s="33" t="n"/>
      <x:c r="G29" s="33" t="n"/>
      <x:c r="H29" s="33" t="n"/>
      <x:c r="I29" s="33" t="n"/>
      <x:c r="J29" s="33" t="n"/>
      <x:c r="K29" s="33" t="n"/>
      <x:c r="L29" s="33" t="n"/>
      <x:c r="M29" s="33" t="n"/>
      <x:c r="N29" s="33" t="n"/>
      <x:c r="O29" s="33" t="n"/>
      <x:c r="P29" s="34" t="n"/>
      <x:c r="Q29" s="34" t="n"/>
      <x:c r="R29" s="33" t="n"/>
      <x:c r="S29" s="34" t="n"/>
      <x:c r="T29" s="34" t="n"/>
      <x:c r="U29" s="34" t="n"/>
      <x:c r="V29" s="34" t="n"/>
      <x:c r="W29" s="33" t="n"/>
      <x:c r="X29" s="33" t="n"/>
      <x:c r="Y29" s="33" t="n"/>
      <x:c r="Z29" s="34" t="n"/>
      <x:c r="AA29" s="34" t="n"/>
      <x:c r="AB29" s="33" t="n"/>
      <x:c r="AC29" s="33" t="n"/>
      <x:c r="AD29" s="35" t="str">
        <x:f>IF(P29="","",P29-LN(7))</x:f>
      </x:c>
      <x:c r="AE29" s="35" t="str">
        <x:f>IF(OR(T29="",S29=""),"",T29-S29)</x:f>
      </x:c>
      <x:c r="AF29" s="35" t="str">
        <x:f>IF(OR(V29="",Seeds!$C$8=""),"",V29-Seeds!$C$8)</x:f>
      </x:c>
      <x:c r="AG29" s="35" t="str">
        <x:f>IF(OR(AF29="",Seeds!$C$10=""),"",IF(ABS(AF29)&gt;Seeds!$C$10,"Có","Không"))</x:f>
      </x:c>
    </x:row>
    <x:row r="30" s="20" customFormat="1" ht="15" customHeight="1">
      <x:c r="A30" s="33" t="n"/>
      <x:c r="B30" s="33" t="n"/>
      <x:c r="C30" s="33" t="n"/>
      <x:c r="D30" s="33" t="n"/>
      <x:c r="E30" s="33" t="n"/>
      <x:c r="F30" s="33" t="n"/>
      <x:c r="G30" s="33" t="n"/>
      <x:c r="H30" s="33" t="n"/>
      <x:c r="I30" s="33" t="n"/>
      <x:c r="J30" s="33" t="n"/>
      <x:c r="K30" s="33" t="n"/>
      <x:c r="L30" s="33" t="n"/>
      <x:c r="M30" s="33" t="n"/>
      <x:c r="N30" s="33" t="n"/>
      <x:c r="O30" s="33" t="n"/>
      <x:c r="P30" s="34" t="n"/>
      <x:c r="Q30" s="34" t="n"/>
      <x:c r="R30" s="33" t="n"/>
      <x:c r="S30" s="34" t="n"/>
      <x:c r="T30" s="34" t="n"/>
      <x:c r="U30" s="34" t="n"/>
      <x:c r="V30" s="34" t="n"/>
      <x:c r="W30" s="33" t="n"/>
      <x:c r="X30" s="33" t="n"/>
      <x:c r="Y30" s="33" t="n"/>
      <x:c r="Z30" s="34" t="n"/>
      <x:c r="AA30" s="34" t="n"/>
      <x:c r="AB30" s="33" t="n"/>
      <x:c r="AC30" s="33" t="n"/>
      <x:c r="AD30" s="35" t="str">
        <x:f>IF(P30="","",P30-LN(7))</x:f>
      </x:c>
      <x:c r="AE30" s="35" t="str">
        <x:f>IF(OR(T30="",S30=""),"",T30-S30)</x:f>
      </x:c>
      <x:c r="AF30" s="35" t="str">
        <x:f>IF(OR(V30="",Seeds!$C$8=""),"",V30-Seeds!$C$8)</x:f>
      </x:c>
      <x:c r="AG30" s="35" t="str">
        <x:f>IF(OR(AF30="",Seeds!$C$10=""),"",IF(ABS(AF30)&gt;Seeds!$C$10,"Có","Không"))</x:f>
      </x:c>
    </x:row>
    <x:row r="31" s="20" customFormat="1" ht="15" customHeight="1">
      <x:c r="A31" s="33" t="n"/>
      <x:c r="B31" s="33" t="n"/>
      <x:c r="C31" s="33" t="n"/>
      <x:c r="D31" s="33" t="n"/>
      <x:c r="E31" s="33" t="n"/>
      <x:c r="F31" s="33" t="n"/>
      <x:c r="G31" s="33" t="n"/>
      <x:c r="H31" s="33" t="n"/>
      <x:c r="I31" s="33" t="n"/>
      <x:c r="J31" s="33" t="n"/>
      <x:c r="K31" s="33" t="n"/>
      <x:c r="L31" s="33" t="n"/>
      <x:c r="M31" s="33" t="n"/>
      <x:c r="N31" s="33" t="n"/>
      <x:c r="O31" s="33" t="n"/>
      <x:c r="P31" s="34" t="n"/>
      <x:c r="Q31" s="34" t="n"/>
      <x:c r="R31" s="33" t="n"/>
      <x:c r="S31" s="34" t="n"/>
      <x:c r="T31" s="34" t="n"/>
      <x:c r="U31" s="34" t="n"/>
      <x:c r="V31" s="34" t="n"/>
      <x:c r="W31" s="33" t="n"/>
      <x:c r="X31" s="33" t="n"/>
      <x:c r="Y31" s="33" t="n"/>
      <x:c r="Z31" s="34" t="n"/>
      <x:c r="AA31" s="34" t="n"/>
      <x:c r="AB31" s="33" t="n"/>
      <x:c r="AC31" s="33" t="n"/>
      <x:c r="AD31" s="35" t="str">
        <x:f>IF(P31="","",P31-LN(7))</x:f>
      </x:c>
      <x:c r="AE31" s="35" t="str">
        <x:f>IF(OR(T31="",S31=""),"",T31-S31)</x:f>
      </x:c>
      <x:c r="AF31" s="35" t="str">
        <x:f>IF(OR(V31="",Seeds!$C$8=""),"",V31-Seeds!$C$8)</x:f>
      </x:c>
      <x:c r="AG31" s="35" t="str">
        <x:f>IF(OR(AF31="",Seeds!$C$10=""),"",IF(ABS(AF31)&gt;Seeds!$C$10,"Có","Không"))</x:f>
      </x:c>
    </x:row>
    <x:row r="32" s="20" customFormat="1" ht="15" customHeight="1">
      <x:c r="A32" s="33" t="n"/>
      <x:c r="B32" s="33" t="n"/>
      <x:c r="C32" s="33" t="n"/>
      <x:c r="D32" s="33" t="n"/>
      <x:c r="E32" s="33" t="n"/>
      <x:c r="F32" s="33" t="n"/>
      <x:c r="G32" s="33" t="n"/>
      <x:c r="H32" s="33" t="n"/>
      <x:c r="I32" s="33" t="n"/>
      <x:c r="J32" s="33" t="n"/>
      <x:c r="K32" s="33" t="n"/>
      <x:c r="L32" s="33" t="n"/>
      <x:c r="M32" s="33" t="n"/>
      <x:c r="N32" s="33" t="n"/>
      <x:c r="O32" s="33" t="n"/>
      <x:c r="P32" s="34" t="n"/>
      <x:c r="Q32" s="34" t="n"/>
      <x:c r="R32" s="33" t="n"/>
      <x:c r="S32" s="34" t="n"/>
      <x:c r="T32" s="34" t="n"/>
      <x:c r="U32" s="34" t="n"/>
      <x:c r="V32" s="34" t="n"/>
      <x:c r="W32" s="33" t="n"/>
      <x:c r="X32" s="33" t="n"/>
      <x:c r="Y32" s="33" t="n"/>
      <x:c r="Z32" s="34" t="n"/>
      <x:c r="AA32" s="34" t="n"/>
      <x:c r="AB32" s="33" t="n"/>
      <x:c r="AC32" s="33" t="n"/>
      <x:c r="AD32" s="35" t="str">
        <x:f>IF(P32="","",P32-LN(7))</x:f>
      </x:c>
      <x:c r="AE32" s="35" t="str">
        <x:f>IF(OR(T32="",S32=""),"",T32-S32)</x:f>
      </x:c>
      <x:c r="AF32" s="35" t="str">
        <x:f>IF(OR(V32="",Seeds!$C$8=""),"",V32-Seeds!$C$8)</x:f>
      </x:c>
      <x:c r="AG32" s="35" t="str">
        <x:f>IF(OR(AF32="",Seeds!$C$10=""),"",IF(ABS(AF32)&gt;Seeds!$C$10,"Có","Không"))</x:f>
      </x:c>
    </x:row>
    <x:row r="33" s="20" customFormat="1" ht="15" customHeight="1">
      <x:c r="A33" s="33" t="n"/>
      <x:c r="B33" s="33" t="n"/>
      <x:c r="C33" s="33" t="n"/>
      <x:c r="D33" s="33" t="n"/>
      <x:c r="E33" s="33" t="n"/>
      <x:c r="F33" s="33" t="n"/>
      <x:c r="G33" s="33" t="n"/>
      <x:c r="H33" s="33" t="n"/>
      <x:c r="I33" s="33" t="n"/>
      <x:c r="J33" s="33" t="n"/>
      <x:c r="K33" s="33" t="n"/>
      <x:c r="L33" s="33" t="n"/>
      <x:c r="M33" s="33" t="n"/>
      <x:c r="N33" s="33" t="n"/>
      <x:c r="O33" s="33" t="n"/>
      <x:c r="P33" s="34" t="n"/>
      <x:c r="Q33" s="34" t="n"/>
      <x:c r="R33" s="33" t="n"/>
      <x:c r="S33" s="34" t="n"/>
      <x:c r="T33" s="34" t="n"/>
      <x:c r="U33" s="34" t="n"/>
      <x:c r="V33" s="34" t="n"/>
      <x:c r="W33" s="33" t="n"/>
      <x:c r="X33" s="33" t="n"/>
      <x:c r="Y33" s="33" t="n"/>
      <x:c r="Z33" s="34" t="n"/>
      <x:c r="AA33" s="34" t="n"/>
      <x:c r="AB33" s="33" t="n"/>
      <x:c r="AC33" s="33" t="n"/>
      <x:c r="AD33" s="35" t="str">
        <x:f>IF(P33="","",P33-LN(7))</x:f>
      </x:c>
      <x:c r="AE33" s="35" t="str">
        <x:f>IF(OR(T33="",S33=""),"",T33-S33)</x:f>
      </x:c>
      <x:c r="AF33" s="35" t="str">
        <x:f>IF(OR(V33="",Seeds!$C$8=""),"",V33-Seeds!$C$8)</x:f>
      </x:c>
      <x:c r="AG33" s="35" t="str">
        <x:f>IF(OR(AF33="",Seeds!$C$10=""),"",IF(ABS(AF33)&gt;Seeds!$C$10,"Có","Không"))</x:f>
      </x:c>
    </x:row>
    <x:row r="34" s="20" customFormat="1" ht="15" customHeight="1">
      <x:c r="A34" s="33" t="n"/>
      <x:c r="B34" s="33" t="n"/>
      <x:c r="C34" s="33" t="n"/>
      <x:c r="D34" s="33" t="n"/>
      <x:c r="E34" s="33" t="n"/>
      <x:c r="F34" s="33" t="n"/>
      <x:c r="G34" s="33" t="n"/>
      <x:c r="H34" s="33" t="n"/>
      <x:c r="I34" s="33" t="n"/>
      <x:c r="J34" s="33" t="n"/>
      <x:c r="K34" s="33" t="n"/>
      <x:c r="L34" s="33" t="n"/>
      <x:c r="M34" s="33" t="n"/>
      <x:c r="N34" s="33" t="n"/>
      <x:c r="O34" s="33" t="n"/>
      <x:c r="P34" s="34" t="n"/>
      <x:c r="Q34" s="34" t="n"/>
      <x:c r="R34" s="33" t="n"/>
      <x:c r="S34" s="34" t="n"/>
      <x:c r="T34" s="34" t="n"/>
      <x:c r="U34" s="34" t="n"/>
      <x:c r="V34" s="34" t="n"/>
      <x:c r="W34" s="33" t="n"/>
      <x:c r="X34" s="33" t="n"/>
      <x:c r="Y34" s="33" t="n"/>
      <x:c r="Z34" s="34" t="n"/>
      <x:c r="AA34" s="34" t="n"/>
      <x:c r="AB34" s="33" t="n"/>
      <x:c r="AC34" s="33" t="n"/>
      <x:c r="AD34" s="35" t="str">
        <x:f>IF(P34="","",P34-LN(7))</x:f>
      </x:c>
      <x:c r="AE34" s="35" t="str">
        <x:f>IF(OR(T34="",S34=""),"",T34-S34)</x:f>
      </x:c>
      <x:c r="AF34" s="35" t="str">
        <x:f>IF(OR(V34="",Seeds!$C$8=""),"",V34-Seeds!$C$8)</x:f>
      </x:c>
      <x:c r="AG34" s="35" t="str">
        <x:f>IF(OR(AF34="",Seeds!$C$10=""),"",IF(ABS(AF34)&gt;Seeds!$C$10,"Có","Không"))</x:f>
      </x:c>
    </x:row>
    <x:row r="35" s="20" customFormat="1" ht="15" customHeight="1">
      <x:c r="A35" s="33" t="n"/>
      <x:c r="B35" s="33" t="n"/>
      <x:c r="C35" s="33" t="n"/>
      <x:c r="D35" s="33" t="n"/>
      <x:c r="E35" s="33" t="n"/>
      <x:c r="F35" s="33" t="n"/>
      <x:c r="G35" s="33" t="n"/>
      <x:c r="H35" s="33" t="n"/>
      <x:c r="I35" s="33" t="n"/>
      <x:c r="J35" s="33" t="n"/>
      <x:c r="K35" s="33" t="n"/>
      <x:c r="L35" s="33" t="n"/>
      <x:c r="M35" s="33" t="n"/>
      <x:c r="N35" s="33" t="n"/>
      <x:c r="O35" s="33" t="n"/>
      <x:c r="P35" s="34" t="n"/>
      <x:c r="Q35" s="34" t="n"/>
      <x:c r="R35" s="33" t="n"/>
      <x:c r="S35" s="34" t="n"/>
      <x:c r="T35" s="34" t="n"/>
      <x:c r="U35" s="34" t="n"/>
      <x:c r="V35" s="34" t="n"/>
      <x:c r="W35" s="33" t="n"/>
      <x:c r="X35" s="33" t="n"/>
      <x:c r="Y35" s="33" t="n"/>
      <x:c r="Z35" s="34" t="n"/>
      <x:c r="AA35" s="34" t="n"/>
      <x:c r="AB35" s="33" t="n"/>
      <x:c r="AC35" s="33" t="n"/>
      <x:c r="AD35" s="35" t="str">
        <x:f>IF(P35="","",P35-LN(7))</x:f>
      </x:c>
      <x:c r="AE35" s="35" t="str">
        <x:f>IF(OR(T35="",S35=""),"",T35-S35)</x:f>
      </x:c>
      <x:c r="AF35" s="35" t="str">
        <x:f>IF(OR(V35="",Seeds!$C$8=""),"",V35-Seeds!$C$8)</x:f>
      </x:c>
      <x:c r="AG35" s="35" t="str">
        <x:f>IF(OR(AF35="",Seeds!$C$10=""),"",IF(ABS(AF35)&gt;Seeds!$C$10,"Có","Không"))</x:f>
      </x:c>
    </x:row>
    <x:row r="36" s="20" customFormat="1" ht="15" customHeight="1">
      <x:c r="A36" s="33" t="n"/>
      <x:c r="B36" s="33" t="n"/>
      <x:c r="C36" s="33" t="n"/>
      <x:c r="D36" s="33" t="n"/>
      <x:c r="E36" s="33" t="n"/>
      <x:c r="F36" s="33" t="n"/>
      <x:c r="G36" s="33" t="n"/>
      <x:c r="H36" s="33" t="n"/>
      <x:c r="I36" s="33" t="n"/>
      <x:c r="J36" s="33" t="n"/>
      <x:c r="K36" s="33" t="n"/>
      <x:c r="L36" s="33" t="n"/>
      <x:c r="M36" s="33" t="n"/>
      <x:c r="N36" s="33" t="n"/>
      <x:c r="O36" s="33" t="n"/>
      <x:c r="P36" s="34" t="n"/>
      <x:c r="Q36" s="34" t="n"/>
      <x:c r="R36" s="33" t="n"/>
      <x:c r="S36" s="34" t="n"/>
      <x:c r="T36" s="34" t="n"/>
      <x:c r="U36" s="34" t="n"/>
      <x:c r="V36" s="34" t="n"/>
      <x:c r="W36" s="33" t="n"/>
      <x:c r="X36" s="33" t="n"/>
      <x:c r="Y36" s="33" t="n"/>
      <x:c r="Z36" s="34" t="n"/>
      <x:c r="AA36" s="34" t="n"/>
      <x:c r="AB36" s="33" t="n"/>
      <x:c r="AC36" s="33" t="n"/>
      <x:c r="AD36" s="35" t="str">
        <x:f>IF(P36="","",P36-LN(7))</x:f>
      </x:c>
      <x:c r="AE36" s="35" t="str">
        <x:f>IF(OR(T36="",S36=""),"",T36-S36)</x:f>
      </x:c>
      <x:c r="AF36" s="35" t="str">
        <x:f>IF(OR(V36="",Seeds!$C$8=""),"",V36-Seeds!$C$8)</x:f>
      </x:c>
      <x:c r="AG36" s="35" t="str">
        <x:f>IF(OR(AF36="",Seeds!$C$10=""),"",IF(ABS(AF36)&gt;Seeds!$C$10,"Có","Không"))</x:f>
      </x:c>
    </x:row>
    <x:row r="37" s="20" customFormat="1" ht="15" customHeight="1">
      <x:c r="A37" s="33" t="n"/>
      <x:c r="B37" s="33" t="n"/>
      <x:c r="C37" s="33" t="n"/>
      <x:c r="D37" s="33" t="n"/>
      <x:c r="E37" s="33" t="n"/>
      <x:c r="F37" s="33" t="n"/>
      <x:c r="G37" s="33" t="n"/>
      <x:c r="H37" s="33" t="n"/>
      <x:c r="I37" s="33" t="n"/>
      <x:c r="J37" s="33" t="n"/>
      <x:c r="K37" s="33" t="n"/>
      <x:c r="L37" s="33" t="n"/>
      <x:c r="M37" s="33" t="n"/>
      <x:c r="N37" s="33" t="n"/>
      <x:c r="O37" s="33" t="n"/>
      <x:c r="P37" s="34" t="n"/>
      <x:c r="Q37" s="34" t="n"/>
      <x:c r="R37" s="33" t="n"/>
      <x:c r="S37" s="34" t="n"/>
      <x:c r="T37" s="34" t="n"/>
      <x:c r="U37" s="34" t="n"/>
      <x:c r="V37" s="34" t="n"/>
      <x:c r="W37" s="33" t="n"/>
      <x:c r="X37" s="33" t="n"/>
      <x:c r="Y37" s="33" t="n"/>
      <x:c r="Z37" s="34" t="n"/>
      <x:c r="AA37" s="34" t="n"/>
      <x:c r="AB37" s="33" t="n"/>
      <x:c r="AC37" s="33" t="n"/>
      <x:c r="AD37" s="35" t="str">
        <x:f>IF(P37="","",P37-LN(7))</x:f>
      </x:c>
      <x:c r="AE37" s="35" t="str">
        <x:f>IF(OR(T37="",S37=""),"",T37-S37)</x:f>
      </x:c>
      <x:c r="AF37" s="35" t="str">
        <x:f>IF(OR(V37="",Seeds!$C$8=""),"",V37-Seeds!$C$8)</x:f>
      </x:c>
      <x:c r="AG37" s="35" t="str">
        <x:f>IF(OR(AF37="",Seeds!$C$10=""),"",IF(ABS(AF37)&gt;Seeds!$C$10,"Có","Không"))</x:f>
      </x:c>
    </x:row>
    <x:row r="38" s="20" customFormat="1" ht="15" customHeight="1">
      <x:c r="A38" s="33" t="n"/>
      <x:c r="B38" s="33" t="n"/>
      <x:c r="C38" s="33" t="n"/>
      <x:c r="D38" s="33" t="n"/>
      <x:c r="E38" s="33" t="n"/>
      <x:c r="F38" s="33" t="n"/>
      <x:c r="G38" s="33" t="n"/>
      <x:c r="H38" s="33" t="n"/>
      <x:c r="I38" s="33" t="n"/>
      <x:c r="J38" s="33" t="n"/>
      <x:c r="K38" s="33" t="n"/>
      <x:c r="L38" s="33" t="n"/>
      <x:c r="M38" s="33" t="n"/>
      <x:c r="N38" s="33" t="n"/>
      <x:c r="O38" s="33" t="n"/>
      <x:c r="P38" s="34" t="n"/>
      <x:c r="Q38" s="34" t="n"/>
      <x:c r="R38" s="33" t="n"/>
      <x:c r="S38" s="34" t="n"/>
      <x:c r="T38" s="34" t="n"/>
      <x:c r="U38" s="34" t="n"/>
      <x:c r="V38" s="34" t="n"/>
      <x:c r="W38" s="33" t="n"/>
      <x:c r="X38" s="33" t="n"/>
      <x:c r="Y38" s="33" t="n"/>
      <x:c r="Z38" s="34" t="n"/>
      <x:c r="AA38" s="34" t="n"/>
      <x:c r="AB38" s="33" t="n"/>
      <x:c r="AC38" s="33" t="n"/>
      <x:c r="AD38" s="35" t="str">
        <x:f>IF(P38="","",P38-LN(7))</x:f>
      </x:c>
      <x:c r="AE38" s="35" t="str">
        <x:f>IF(OR(T38="",S38=""),"",T38-S38)</x:f>
      </x:c>
      <x:c r="AF38" s="35" t="str">
        <x:f>IF(OR(V38="",Seeds!$C$8=""),"",V38-Seeds!$C$8)</x:f>
      </x:c>
      <x:c r="AG38" s="35" t="str">
        <x:f>IF(OR(AF38="",Seeds!$C$10=""),"",IF(ABS(AF38)&gt;Seeds!$C$10,"Có","Không"))</x:f>
      </x:c>
    </x:row>
    <x:row r="39" s="20" customFormat="1" ht="15" customHeight="1">
      <x:c r="A39" s="33" t="n"/>
      <x:c r="B39" s="33" t="n"/>
      <x:c r="C39" s="33" t="n"/>
      <x:c r="D39" s="33" t="n"/>
      <x:c r="E39" s="33" t="n"/>
      <x:c r="F39" s="33" t="n"/>
      <x:c r="G39" s="33" t="n"/>
      <x:c r="H39" s="33" t="n"/>
      <x:c r="I39" s="33" t="n"/>
      <x:c r="J39" s="33" t="n"/>
      <x:c r="K39" s="33" t="n"/>
      <x:c r="L39" s="33" t="n"/>
      <x:c r="M39" s="33" t="n"/>
      <x:c r="N39" s="33" t="n"/>
      <x:c r="O39" s="33" t="n"/>
      <x:c r="P39" s="34" t="n"/>
      <x:c r="Q39" s="34" t="n"/>
      <x:c r="R39" s="33" t="n"/>
      <x:c r="S39" s="34" t="n"/>
      <x:c r="T39" s="34" t="n"/>
      <x:c r="U39" s="34" t="n"/>
      <x:c r="V39" s="34" t="n"/>
      <x:c r="W39" s="33" t="n"/>
      <x:c r="X39" s="33" t="n"/>
      <x:c r="Y39" s="33" t="n"/>
      <x:c r="Z39" s="34" t="n"/>
      <x:c r="AA39" s="34" t="n"/>
      <x:c r="AB39" s="33" t="n"/>
      <x:c r="AC39" s="33" t="n"/>
      <x:c r="AD39" s="35" t="str">
        <x:f>IF(P39="","",P39-LN(7))</x:f>
      </x:c>
      <x:c r="AE39" s="35" t="str">
        <x:f>IF(OR(T39="",S39=""),"",T39-S39)</x:f>
      </x:c>
      <x:c r="AF39" s="35" t="str">
        <x:f>IF(OR(V39="",Seeds!$C$8=""),"",V39-Seeds!$C$8)</x:f>
      </x:c>
      <x:c r="AG39" s="35" t="str">
        <x:f>IF(OR(AF39="",Seeds!$C$10=""),"",IF(ABS(AF39)&gt;Seeds!$C$10,"Có","Không"))</x:f>
      </x:c>
    </x:row>
    <x:row r="40" s="20" customFormat="1" ht="15" customHeight="1">
      <x:c r="A40" s="33" t="n"/>
      <x:c r="B40" s="33" t="n"/>
      <x:c r="C40" s="33" t="n"/>
      <x:c r="D40" s="33" t="n"/>
      <x:c r="E40" s="33" t="n"/>
      <x:c r="F40" s="33" t="n"/>
      <x:c r="G40" s="33" t="n"/>
      <x:c r="H40" s="33" t="n"/>
      <x:c r="I40" s="33" t="n"/>
      <x:c r="J40" s="33" t="n"/>
      <x:c r="K40" s="33" t="n"/>
      <x:c r="L40" s="33" t="n"/>
      <x:c r="M40" s="33" t="n"/>
      <x:c r="N40" s="33" t="n"/>
      <x:c r="O40" s="33" t="n"/>
      <x:c r="P40" s="34" t="n"/>
      <x:c r="Q40" s="34" t="n"/>
      <x:c r="R40" s="33" t="n"/>
      <x:c r="S40" s="34" t="n"/>
      <x:c r="T40" s="34" t="n"/>
      <x:c r="U40" s="34" t="n"/>
      <x:c r="V40" s="34" t="n"/>
      <x:c r="W40" s="33" t="n"/>
      <x:c r="X40" s="33" t="n"/>
      <x:c r="Y40" s="33" t="n"/>
      <x:c r="Z40" s="34" t="n"/>
      <x:c r="AA40" s="34" t="n"/>
      <x:c r="AB40" s="33" t="n"/>
      <x:c r="AC40" s="33" t="n"/>
      <x:c r="AD40" s="35" t="str">
        <x:f>IF(P40="","",P40-LN(7))</x:f>
      </x:c>
      <x:c r="AE40" s="35" t="str">
        <x:f>IF(OR(T40="",S40=""),"",T40-S40)</x:f>
      </x:c>
      <x:c r="AF40" s="35" t="str">
        <x:f>IF(OR(V40="",Seeds!$C$8=""),"",V40-Seeds!$C$8)</x:f>
      </x:c>
      <x:c r="AG40" s="35" t="str">
        <x:f>IF(OR(AF40="",Seeds!$C$10=""),"",IF(ABS(AF40)&gt;Seeds!$C$10,"Có","Không"))</x:f>
      </x:c>
    </x:row>
    <x:row r="41" s="20" customFormat="1" ht="15" customHeight="1">
      <x:c r="A41" s="33" t="n"/>
      <x:c r="B41" s="33" t="n"/>
      <x:c r="C41" s="33" t="n"/>
      <x:c r="D41" s="33" t="n"/>
      <x:c r="E41" s="33" t="n"/>
      <x:c r="F41" s="33" t="n"/>
      <x:c r="G41" s="33" t="n"/>
      <x:c r="H41" s="33" t="n"/>
      <x:c r="I41" s="33" t="n"/>
      <x:c r="J41" s="33" t="n"/>
      <x:c r="K41" s="33" t="n"/>
      <x:c r="L41" s="33" t="n"/>
      <x:c r="M41" s="33" t="n"/>
      <x:c r="N41" s="33" t="n"/>
      <x:c r="O41" s="33" t="n"/>
      <x:c r="P41" s="34" t="n"/>
      <x:c r="Q41" s="34" t="n"/>
      <x:c r="R41" s="33" t="n"/>
      <x:c r="S41" s="34" t="n"/>
      <x:c r="T41" s="34" t="n"/>
      <x:c r="U41" s="34" t="n"/>
      <x:c r="V41" s="34" t="n"/>
      <x:c r="W41" s="33" t="n"/>
      <x:c r="X41" s="33" t="n"/>
      <x:c r="Y41" s="33" t="n"/>
      <x:c r="Z41" s="34" t="n"/>
      <x:c r="AA41" s="34" t="n"/>
      <x:c r="AB41" s="33" t="n"/>
      <x:c r="AC41" s="33" t="n"/>
      <x:c r="AD41" s="35" t="str">
        <x:f>IF(P41="","",P41-LN(7))</x:f>
      </x:c>
      <x:c r="AE41" s="35" t="str">
        <x:f>IF(OR(T41="",S41=""),"",T41-S41)</x:f>
      </x:c>
      <x:c r="AF41" s="35" t="str">
        <x:f>IF(OR(V41="",Seeds!$C$8=""),"",V41-Seeds!$C$8)</x:f>
      </x:c>
      <x:c r="AG41" s="35" t="str">
        <x:f>IF(OR(AF41="",Seeds!$C$10=""),"",IF(ABS(AF41)&gt;Seeds!$C$10,"Có","Không"))</x:f>
      </x:c>
    </x:row>
    <x:row r="42" s="20" customFormat="1" ht="15" customHeight="1">
      <x:c r="A42" s="33" t="n"/>
      <x:c r="B42" s="33" t="n"/>
      <x:c r="C42" s="33" t="n"/>
      <x:c r="D42" s="33" t="n"/>
      <x:c r="E42" s="33" t="n"/>
      <x:c r="F42" s="33" t="n"/>
      <x:c r="G42" s="33" t="n"/>
      <x:c r="H42" s="33" t="n"/>
      <x:c r="I42" s="33" t="n"/>
      <x:c r="J42" s="33" t="n"/>
      <x:c r="K42" s="33" t="n"/>
      <x:c r="L42" s="33" t="n"/>
      <x:c r="M42" s="33" t="n"/>
      <x:c r="N42" s="33" t="n"/>
      <x:c r="O42" s="33" t="n"/>
      <x:c r="P42" s="34" t="n"/>
      <x:c r="Q42" s="34" t="n"/>
      <x:c r="R42" s="33" t="n"/>
      <x:c r="S42" s="34" t="n"/>
      <x:c r="T42" s="34" t="n"/>
      <x:c r="U42" s="34" t="n"/>
      <x:c r="V42" s="34" t="n"/>
      <x:c r="W42" s="33" t="n"/>
      <x:c r="X42" s="33" t="n"/>
      <x:c r="Y42" s="33" t="n"/>
      <x:c r="Z42" s="34" t="n"/>
      <x:c r="AA42" s="34" t="n"/>
      <x:c r="AB42" s="33" t="n"/>
      <x:c r="AC42" s="33" t="n"/>
      <x:c r="AD42" s="35" t="str">
        <x:f>IF(P42="","",P42-LN(7))</x:f>
      </x:c>
      <x:c r="AE42" s="35" t="str">
        <x:f>IF(OR(T42="",S42=""),"",T42-S42)</x:f>
      </x:c>
      <x:c r="AF42" s="35" t="str">
        <x:f>IF(OR(V42="",Seeds!$C$8=""),"",V42-Seeds!$C$8)</x:f>
      </x:c>
      <x:c r="AG42" s="35" t="str">
        <x:f>IF(OR(AF42="",Seeds!$C$10=""),"",IF(ABS(AF42)&gt;Seeds!$C$10,"Có","Không"))</x:f>
      </x:c>
    </x:row>
    <x:row r="43" s="20" customFormat="1" ht="15" customHeight="1">
      <x:c r="A43" s="33" t="n"/>
      <x:c r="B43" s="33" t="n"/>
      <x:c r="C43" s="33" t="n"/>
      <x:c r="D43" s="33" t="n"/>
      <x:c r="E43" s="33" t="n"/>
      <x:c r="F43" s="33" t="n"/>
      <x:c r="G43" s="33" t="n"/>
      <x:c r="H43" s="33" t="n"/>
      <x:c r="I43" s="33" t="n"/>
      <x:c r="J43" s="33" t="n"/>
      <x:c r="K43" s="33" t="n"/>
      <x:c r="L43" s="33" t="n"/>
      <x:c r="M43" s="33" t="n"/>
      <x:c r="N43" s="33" t="n"/>
      <x:c r="O43" s="33" t="n"/>
      <x:c r="P43" s="34" t="n"/>
      <x:c r="Q43" s="34" t="n"/>
      <x:c r="R43" s="33" t="n"/>
      <x:c r="S43" s="34" t="n"/>
      <x:c r="T43" s="34" t="n"/>
      <x:c r="U43" s="34" t="n"/>
      <x:c r="V43" s="34" t="n"/>
      <x:c r="W43" s="33" t="n"/>
      <x:c r="X43" s="33" t="n"/>
      <x:c r="Y43" s="33" t="n"/>
      <x:c r="Z43" s="34" t="n"/>
      <x:c r="AA43" s="34" t="n"/>
      <x:c r="AB43" s="33" t="n"/>
      <x:c r="AC43" s="33" t="n"/>
      <x:c r="AD43" s="35" t="str">
        <x:f>IF(P43="","",P43-LN(7))</x:f>
      </x:c>
      <x:c r="AE43" s="35" t="str">
        <x:f>IF(OR(T43="",S43=""),"",T43-S43)</x:f>
      </x:c>
      <x:c r="AF43" s="35" t="str">
        <x:f>IF(OR(V43="",Seeds!$C$8=""),"",V43-Seeds!$C$8)</x:f>
      </x:c>
      <x:c r="AG43" s="35" t="str">
        <x:f>IF(OR(AF43="",Seeds!$C$10=""),"",IF(ABS(AF43)&gt;Seeds!$C$10,"Có","Không"))</x:f>
      </x:c>
    </x:row>
    <x:row r="44" s="20" customFormat="1" ht="15" customHeight="1">
      <x:c r="A44" s="33" t="n"/>
      <x:c r="B44" s="33" t="n"/>
      <x:c r="C44" s="33" t="n"/>
      <x:c r="D44" s="33" t="n"/>
      <x:c r="E44" s="33" t="n"/>
      <x:c r="F44" s="33" t="n"/>
      <x:c r="G44" s="33" t="n"/>
      <x:c r="H44" s="33" t="n"/>
      <x:c r="I44" s="33" t="n"/>
      <x:c r="J44" s="33" t="n"/>
      <x:c r="K44" s="33" t="n"/>
      <x:c r="L44" s="33" t="n"/>
      <x:c r="M44" s="33" t="n"/>
      <x:c r="N44" s="33" t="n"/>
      <x:c r="O44" s="33" t="n"/>
      <x:c r="P44" s="34" t="n"/>
      <x:c r="Q44" s="34" t="n"/>
      <x:c r="R44" s="33" t="n"/>
      <x:c r="S44" s="34" t="n"/>
      <x:c r="T44" s="34" t="n"/>
      <x:c r="U44" s="34" t="n"/>
      <x:c r="V44" s="34" t="n"/>
      <x:c r="W44" s="33" t="n"/>
      <x:c r="X44" s="33" t="n"/>
      <x:c r="Y44" s="33" t="n"/>
      <x:c r="Z44" s="34" t="n"/>
      <x:c r="AA44" s="34" t="n"/>
      <x:c r="AB44" s="33" t="n"/>
      <x:c r="AC44" s="33" t="n"/>
      <x:c r="AD44" s="35" t="str">
        <x:f>IF(P44="","",P44-LN(7))</x:f>
      </x:c>
      <x:c r="AE44" s="35" t="str">
        <x:f>IF(OR(T44="",S44=""),"",T44-S44)</x:f>
      </x:c>
      <x:c r="AF44" s="35" t="str">
        <x:f>IF(OR(V44="",Seeds!$C$8=""),"",V44-Seeds!$C$8)</x:f>
      </x:c>
      <x:c r="AG44" s="35" t="str">
        <x:f>IF(OR(AF44="",Seeds!$C$10=""),"",IF(ABS(AF44)&gt;Seeds!$C$10,"Có","Không"))</x:f>
      </x:c>
    </x:row>
    <x:row r="45" s="20" customFormat="1" ht="15" customHeight="1">
      <x:c r="A45" s="33" t="n"/>
      <x:c r="B45" s="33" t="n"/>
      <x:c r="C45" s="33" t="n"/>
      <x:c r="D45" s="33" t="n"/>
      <x:c r="E45" s="33" t="n"/>
      <x:c r="F45" s="33" t="n"/>
      <x:c r="G45" s="33" t="n"/>
      <x:c r="H45" s="33" t="n"/>
      <x:c r="I45" s="33" t="n"/>
      <x:c r="J45" s="33" t="n"/>
      <x:c r="K45" s="33" t="n"/>
      <x:c r="L45" s="33" t="n"/>
      <x:c r="M45" s="33" t="n"/>
      <x:c r="N45" s="33" t="n"/>
      <x:c r="O45" s="33" t="n"/>
      <x:c r="P45" s="34" t="n"/>
      <x:c r="Q45" s="34" t="n"/>
      <x:c r="R45" s="33" t="n"/>
      <x:c r="S45" s="34" t="n"/>
      <x:c r="T45" s="34" t="n"/>
      <x:c r="U45" s="34" t="n"/>
      <x:c r="V45" s="34" t="n"/>
      <x:c r="W45" s="33" t="n"/>
      <x:c r="X45" s="33" t="n"/>
      <x:c r="Y45" s="33" t="n"/>
      <x:c r="Z45" s="34" t="n"/>
      <x:c r="AA45" s="34" t="n"/>
      <x:c r="AB45" s="33" t="n"/>
      <x:c r="AC45" s="33" t="n"/>
      <x:c r="AD45" s="35" t="str">
        <x:f>IF(P45="","",P45-LN(7))</x:f>
      </x:c>
      <x:c r="AE45" s="35" t="str">
        <x:f>IF(OR(T45="",S45=""),"",T45-S45)</x:f>
      </x:c>
      <x:c r="AF45" s="35" t="str">
        <x:f>IF(OR(V45="",Seeds!$C$8=""),"",V45-Seeds!$C$8)</x:f>
      </x:c>
      <x:c r="AG45" s="35" t="str">
        <x:f>IF(OR(AF45="",Seeds!$C$10=""),"",IF(ABS(AF45)&gt;Seeds!$C$10,"Có","Không"))</x:f>
      </x:c>
    </x:row>
    <x:row r="46" s="20" customFormat="1" ht="15" customHeight="1">
      <x:c r="A46" s="33" t="n"/>
      <x:c r="B46" s="33" t="n"/>
      <x:c r="C46" s="33" t="n"/>
      <x:c r="D46" s="33" t="n"/>
      <x:c r="E46" s="33" t="n"/>
      <x:c r="F46" s="33" t="n"/>
      <x:c r="G46" s="33" t="n"/>
      <x:c r="H46" s="33" t="n"/>
      <x:c r="I46" s="33" t="n"/>
      <x:c r="J46" s="33" t="n"/>
      <x:c r="K46" s="33" t="n"/>
      <x:c r="L46" s="33" t="n"/>
      <x:c r="M46" s="33" t="n"/>
      <x:c r="N46" s="33" t="n"/>
      <x:c r="O46" s="33" t="n"/>
      <x:c r="P46" s="34" t="n"/>
      <x:c r="Q46" s="34" t="n"/>
      <x:c r="R46" s="33" t="n"/>
      <x:c r="S46" s="34" t="n"/>
      <x:c r="T46" s="34" t="n"/>
      <x:c r="U46" s="34" t="n"/>
      <x:c r="V46" s="34" t="n"/>
      <x:c r="W46" s="33" t="n"/>
      <x:c r="X46" s="33" t="n"/>
      <x:c r="Y46" s="33" t="n"/>
      <x:c r="Z46" s="34" t="n"/>
      <x:c r="AA46" s="34" t="n"/>
      <x:c r="AB46" s="33" t="n"/>
      <x:c r="AC46" s="33" t="n"/>
      <x:c r="AD46" s="35" t="str">
        <x:f>IF(P46="","",P46-LN(7))</x:f>
      </x:c>
      <x:c r="AE46" s="35" t="str">
        <x:f>IF(OR(T46="",S46=""),"",T46-S46)</x:f>
      </x:c>
      <x:c r="AF46" s="35" t="str">
        <x:f>IF(OR(V46="",Seeds!$C$8=""),"",V46-Seeds!$C$8)</x:f>
      </x:c>
      <x:c r="AG46" s="35" t="str">
        <x:f>IF(OR(AF46="",Seeds!$C$10=""),"",IF(ABS(AF46)&gt;Seeds!$C$10,"Có","Không"))</x:f>
      </x:c>
    </x:row>
    <x:row r="47" s="20" customFormat="1" ht="15" customHeight="1">
      <x:c r="A47" s="33" t="n"/>
      <x:c r="B47" s="33" t="n"/>
      <x:c r="C47" s="33" t="n"/>
      <x:c r="D47" s="33" t="n"/>
      <x:c r="E47" s="33" t="n"/>
      <x:c r="F47" s="33" t="n"/>
      <x:c r="G47" s="33" t="n"/>
      <x:c r="H47" s="33" t="n"/>
      <x:c r="I47" s="33" t="n"/>
      <x:c r="J47" s="33" t="n"/>
      <x:c r="K47" s="33" t="n"/>
      <x:c r="L47" s="33" t="n"/>
      <x:c r="M47" s="33" t="n"/>
      <x:c r="N47" s="33" t="n"/>
      <x:c r="O47" s="33" t="n"/>
      <x:c r="P47" s="34" t="n"/>
      <x:c r="Q47" s="34" t="n"/>
      <x:c r="R47" s="33" t="n"/>
      <x:c r="S47" s="34" t="n"/>
      <x:c r="T47" s="34" t="n"/>
      <x:c r="U47" s="34" t="n"/>
      <x:c r="V47" s="34" t="n"/>
      <x:c r="W47" s="33" t="n"/>
      <x:c r="X47" s="33" t="n"/>
      <x:c r="Y47" s="33" t="n"/>
      <x:c r="Z47" s="34" t="n"/>
      <x:c r="AA47" s="34" t="n"/>
      <x:c r="AB47" s="33" t="n"/>
      <x:c r="AC47" s="33" t="n"/>
      <x:c r="AD47" s="35" t="str">
        <x:f>IF(P47="","",P47-LN(7))</x:f>
      </x:c>
      <x:c r="AE47" s="35" t="str">
        <x:f>IF(OR(T47="",S47=""),"",T47-S47)</x:f>
      </x:c>
      <x:c r="AF47" s="35" t="str">
        <x:f>IF(OR(V47="",Seeds!$C$8=""),"",V47-Seeds!$C$8)</x:f>
      </x:c>
      <x:c r="AG47" s="35" t="str">
        <x:f>IF(OR(AF47="",Seeds!$C$10=""),"",IF(ABS(AF47)&gt;Seeds!$C$10,"Có","Không"))</x:f>
      </x:c>
    </x:row>
    <x:row r="48" s="20" customFormat="1" ht="15" customHeight="1">
      <x:c r="A48" s="33" t="n"/>
      <x:c r="B48" s="33" t="n"/>
      <x:c r="C48" s="33" t="n"/>
      <x:c r="D48" s="33" t="n"/>
      <x:c r="E48" s="33" t="n"/>
      <x:c r="F48" s="33" t="n"/>
      <x:c r="G48" s="33" t="n"/>
      <x:c r="H48" s="33" t="n"/>
      <x:c r="I48" s="33" t="n"/>
      <x:c r="J48" s="33" t="n"/>
      <x:c r="K48" s="33" t="n"/>
      <x:c r="L48" s="33" t="n"/>
      <x:c r="M48" s="33" t="n"/>
      <x:c r="N48" s="33" t="n"/>
      <x:c r="O48" s="33" t="n"/>
      <x:c r="P48" s="34" t="n"/>
      <x:c r="Q48" s="34" t="n"/>
      <x:c r="R48" s="33" t="n"/>
      <x:c r="S48" s="34" t="n"/>
      <x:c r="T48" s="34" t="n"/>
      <x:c r="U48" s="34" t="n"/>
      <x:c r="V48" s="34" t="n"/>
      <x:c r="W48" s="33" t="n"/>
      <x:c r="X48" s="33" t="n"/>
      <x:c r="Y48" s="33" t="n"/>
      <x:c r="Z48" s="34" t="n"/>
      <x:c r="AA48" s="34" t="n"/>
      <x:c r="AB48" s="33" t="n"/>
      <x:c r="AC48" s="33" t="n"/>
      <x:c r="AD48" s="35" t="str">
        <x:f>IF(P48="","",P48-LN(7))</x:f>
      </x:c>
      <x:c r="AE48" s="35" t="str">
        <x:f>IF(OR(T48="",S48=""),"",T48-S48)</x:f>
      </x:c>
      <x:c r="AF48" s="35" t="str">
        <x:f>IF(OR(V48="",Seeds!$C$8=""),"",V48-Seeds!$C$8)</x:f>
      </x:c>
      <x:c r="AG48" s="35" t="str">
        <x:f>IF(OR(AF48="",Seeds!$C$10=""),"",IF(ABS(AF48)&gt;Seeds!$C$10,"Có","Không"))</x:f>
      </x:c>
    </x:row>
    <x:row r="49" s="20" customFormat="1" ht="15" customHeight="1">
      <x:c r="A49" s="33" t="n"/>
      <x:c r="B49" s="33" t="n"/>
      <x:c r="C49" s="33" t="n"/>
      <x:c r="D49" s="33" t="n"/>
      <x:c r="E49" s="33" t="n"/>
      <x:c r="F49" s="33" t="n"/>
      <x:c r="G49" s="33" t="n"/>
      <x:c r="H49" s="33" t="n"/>
      <x:c r="I49" s="33" t="n"/>
      <x:c r="J49" s="33" t="n"/>
      <x:c r="K49" s="33" t="n"/>
      <x:c r="L49" s="33" t="n"/>
      <x:c r="M49" s="33" t="n"/>
      <x:c r="N49" s="33" t="n"/>
      <x:c r="O49" s="33" t="n"/>
      <x:c r="P49" s="34" t="n"/>
      <x:c r="Q49" s="34" t="n"/>
      <x:c r="R49" s="33" t="n"/>
      <x:c r="S49" s="34" t="n"/>
      <x:c r="T49" s="34" t="n"/>
      <x:c r="U49" s="34" t="n"/>
      <x:c r="V49" s="34" t="n"/>
      <x:c r="W49" s="33" t="n"/>
      <x:c r="X49" s="33" t="n"/>
      <x:c r="Y49" s="33" t="n"/>
      <x:c r="Z49" s="34" t="n"/>
      <x:c r="AA49" s="34" t="n"/>
      <x:c r="AB49" s="33" t="n"/>
      <x:c r="AC49" s="33" t="n"/>
      <x:c r="AD49" s="35" t="str">
        <x:f>IF(P49="","",P49-LN(7))</x:f>
      </x:c>
      <x:c r="AE49" s="35" t="str">
        <x:f>IF(OR(T49="",S49=""),"",T49-S49)</x:f>
      </x:c>
      <x:c r="AF49" s="35" t="str">
        <x:f>IF(OR(V49="",Seeds!$C$8=""),"",V49-Seeds!$C$8)</x:f>
      </x:c>
      <x:c r="AG49" s="35" t="str">
        <x:f>IF(OR(AF49="",Seeds!$C$10=""),"",IF(ABS(AF49)&gt;Seeds!$C$10,"Có","Không"))</x:f>
      </x:c>
    </x:row>
    <x:row r="50" s="20" customFormat="1" ht="15" customHeight="1">
      <x:c r="A50" s="33" t="n"/>
      <x:c r="B50" s="33" t="n"/>
      <x:c r="C50" s="33" t="n"/>
      <x:c r="D50" s="33" t="n"/>
      <x:c r="E50" s="33" t="n"/>
      <x:c r="F50" s="33" t="n"/>
      <x:c r="G50" s="33" t="n"/>
      <x:c r="H50" s="33" t="n"/>
      <x:c r="I50" s="33" t="n"/>
      <x:c r="J50" s="33" t="n"/>
      <x:c r="K50" s="33" t="n"/>
      <x:c r="L50" s="33" t="n"/>
      <x:c r="M50" s="33" t="n"/>
      <x:c r="N50" s="33" t="n"/>
      <x:c r="O50" s="33" t="n"/>
      <x:c r="P50" s="34" t="n"/>
      <x:c r="Q50" s="34" t="n"/>
      <x:c r="R50" s="33" t="n"/>
      <x:c r="S50" s="34" t="n"/>
      <x:c r="T50" s="34" t="n"/>
      <x:c r="U50" s="34" t="n"/>
      <x:c r="V50" s="34" t="n"/>
      <x:c r="W50" s="33" t="n"/>
      <x:c r="X50" s="33" t="n"/>
      <x:c r="Y50" s="33" t="n"/>
      <x:c r="Z50" s="34" t="n"/>
      <x:c r="AA50" s="34" t="n"/>
      <x:c r="AB50" s="33" t="n"/>
      <x:c r="AC50" s="33" t="n"/>
      <x:c r="AD50" s="35" t="str">
        <x:f>IF(P50="","",P50-LN(7))</x:f>
      </x:c>
      <x:c r="AE50" s="35" t="str">
        <x:f>IF(OR(T50="",S50=""),"",T50-S50)</x:f>
      </x:c>
      <x:c r="AF50" s="35" t="str">
        <x:f>IF(OR(V50="",Seeds!$C$8=""),"",V50-Seeds!$C$8)</x:f>
      </x:c>
      <x:c r="AG50" s="35" t="str">
        <x:f>IF(OR(AF50="",Seeds!$C$10=""),"",IF(ABS(AF50)&gt;Seeds!$C$10,"Có","Không"))</x:f>
      </x:c>
    </x:row>
    <x:row r="51" s="20" customFormat="1" ht="15" customHeight="1">
      <x:c r="A51" s="33" t="n"/>
      <x:c r="B51" s="33" t="n"/>
      <x:c r="C51" s="33" t="n"/>
      <x:c r="D51" s="33" t="n"/>
      <x:c r="E51" s="33" t="n"/>
      <x:c r="F51" s="33" t="n"/>
      <x:c r="G51" s="33" t="n"/>
      <x:c r="H51" s="33" t="n"/>
      <x:c r="I51" s="33" t="n"/>
      <x:c r="J51" s="33" t="n"/>
      <x:c r="K51" s="33" t="n"/>
      <x:c r="L51" s="33" t="n"/>
      <x:c r="M51" s="33" t="n"/>
      <x:c r="N51" s="33" t="n"/>
      <x:c r="O51" s="33" t="n"/>
      <x:c r="P51" s="34" t="n"/>
      <x:c r="Q51" s="34" t="n"/>
      <x:c r="R51" s="33" t="n"/>
      <x:c r="S51" s="34" t="n"/>
      <x:c r="T51" s="34" t="n"/>
      <x:c r="U51" s="34" t="n"/>
      <x:c r="V51" s="34" t="n"/>
      <x:c r="W51" s="33" t="n"/>
      <x:c r="X51" s="33" t="n"/>
      <x:c r="Y51" s="33" t="n"/>
      <x:c r="Z51" s="34" t="n"/>
      <x:c r="AA51" s="34" t="n"/>
      <x:c r="AB51" s="33" t="n"/>
      <x:c r="AC51" s="33" t="n"/>
      <x:c r="AD51" s="35" t="str">
        <x:f>IF(P51="","",P51-LN(7))</x:f>
      </x:c>
      <x:c r="AE51" s="35" t="str">
        <x:f>IF(OR(T51="",S51=""),"",T51-S51)</x:f>
      </x:c>
      <x:c r="AF51" s="35" t="str">
        <x:f>IF(OR(V51="",Seeds!$C$8=""),"",V51-Seeds!$C$8)</x:f>
      </x:c>
      <x:c r="AG51" s="35" t="str">
        <x:f>IF(OR(AF51="",Seeds!$C$10=""),"",IF(ABS(AF51)&gt;Seeds!$C$10,"Có","Không"))</x:f>
      </x:c>
    </x:row>
    <x:row r="52" s="20" customFormat="1" ht="15" customHeight="1">
      <x:c r="A52" s="33" t="n"/>
      <x:c r="B52" s="33" t="n"/>
      <x:c r="C52" s="33" t="n"/>
      <x:c r="D52" s="33" t="n"/>
      <x:c r="E52" s="33" t="n"/>
      <x:c r="F52" s="33" t="n"/>
      <x:c r="G52" s="33" t="n"/>
      <x:c r="H52" s="33" t="n"/>
      <x:c r="I52" s="33" t="n"/>
      <x:c r="J52" s="33" t="n"/>
      <x:c r="K52" s="33" t="n"/>
      <x:c r="L52" s="33" t="n"/>
      <x:c r="M52" s="33" t="n"/>
      <x:c r="N52" s="33" t="n"/>
      <x:c r="O52" s="33" t="n"/>
      <x:c r="P52" s="34" t="n"/>
      <x:c r="Q52" s="34" t="n"/>
      <x:c r="R52" s="33" t="n"/>
      <x:c r="S52" s="34" t="n"/>
      <x:c r="T52" s="34" t="n"/>
      <x:c r="U52" s="34" t="n"/>
      <x:c r="V52" s="34" t="n"/>
      <x:c r="W52" s="33" t="n"/>
      <x:c r="X52" s="33" t="n"/>
      <x:c r="Y52" s="33" t="n"/>
      <x:c r="Z52" s="34" t="n"/>
      <x:c r="AA52" s="34" t="n"/>
      <x:c r="AB52" s="33" t="n"/>
      <x:c r="AC52" s="33" t="n"/>
      <x:c r="AD52" s="35" t="str">
        <x:f>IF(P52="","",P52-LN(7))</x:f>
      </x:c>
      <x:c r="AE52" s="35" t="str">
        <x:f>IF(OR(T52="",S52=""),"",T52-S52)</x:f>
      </x:c>
      <x:c r="AF52" s="35" t="str">
        <x:f>IF(OR(V52="",Seeds!$C$8=""),"",V52-Seeds!$C$8)</x:f>
      </x:c>
      <x:c r="AG52" s="35" t="str">
        <x:f>IF(OR(AF52="",Seeds!$C$10=""),"",IF(ABS(AF52)&gt;Seeds!$C$10,"Có","Không"))</x:f>
      </x:c>
    </x:row>
    <x:row r="53" s="20" customFormat="1" ht="15" customHeight="1">
      <x:c r="A53" s="33" t="n"/>
      <x:c r="B53" s="33" t="n"/>
      <x:c r="C53" s="33" t="n"/>
      <x:c r="D53" s="33" t="n"/>
      <x:c r="E53" s="33" t="n"/>
      <x:c r="F53" s="33" t="n"/>
      <x:c r="G53" s="33" t="n"/>
      <x:c r="H53" s="33" t="n"/>
      <x:c r="I53" s="33" t="n"/>
      <x:c r="J53" s="33" t="n"/>
      <x:c r="K53" s="33" t="n"/>
      <x:c r="L53" s="33" t="n"/>
      <x:c r="M53" s="33" t="n"/>
      <x:c r="N53" s="33" t="n"/>
      <x:c r="O53" s="33" t="n"/>
      <x:c r="P53" s="34" t="n"/>
      <x:c r="Q53" s="34" t="n"/>
      <x:c r="R53" s="33" t="n"/>
      <x:c r="S53" s="34" t="n"/>
      <x:c r="T53" s="34" t="n"/>
      <x:c r="U53" s="34" t="n"/>
      <x:c r="V53" s="34" t="n"/>
      <x:c r="W53" s="33" t="n"/>
      <x:c r="X53" s="33" t="n"/>
      <x:c r="Y53" s="33" t="n"/>
      <x:c r="Z53" s="34" t="n"/>
      <x:c r="AA53" s="34" t="n"/>
      <x:c r="AB53" s="33" t="n"/>
      <x:c r="AC53" s="33" t="n"/>
      <x:c r="AD53" s="35" t="str">
        <x:f>IF(P53="","",P53-LN(7))</x:f>
      </x:c>
      <x:c r="AE53" s="35" t="str">
        <x:f>IF(OR(T53="",S53=""),"",T53-S53)</x:f>
      </x:c>
      <x:c r="AF53" s="35" t="str">
        <x:f>IF(OR(V53="",Seeds!$C$8=""),"",V53-Seeds!$C$8)</x:f>
      </x:c>
      <x:c r="AG53" s="35" t="str">
        <x:f>IF(OR(AF53="",Seeds!$C$10=""),"",IF(ABS(AF53)&gt;Seeds!$C$10,"Có","Không"))</x:f>
      </x:c>
    </x:row>
    <x:row r="54" s="20" customFormat="1" ht="15" customHeight="1">
      <x:c r="A54" s="33" t="n"/>
      <x:c r="B54" s="33" t="n"/>
      <x:c r="C54" s="33" t="n"/>
      <x:c r="D54" s="33" t="n"/>
      <x:c r="E54" s="33" t="n"/>
      <x:c r="F54" s="33" t="n"/>
      <x:c r="G54" s="33" t="n"/>
      <x:c r="H54" s="33" t="n"/>
      <x:c r="I54" s="33" t="n"/>
      <x:c r="J54" s="33" t="n"/>
      <x:c r="K54" s="33" t="n"/>
      <x:c r="L54" s="33" t="n"/>
      <x:c r="M54" s="33" t="n"/>
      <x:c r="N54" s="33" t="n"/>
      <x:c r="O54" s="33" t="n"/>
      <x:c r="P54" s="34" t="n"/>
      <x:c r="Q54" s="34" t="n"/>
      <x:c r="R54" s="33" t="n"/>
      <x:c r="S54" s="34" t="n"/>
      <x:c r="T54" s="34" t="n"/>
      <x:c r="U54" s="34" t="n"/>
      <x:c r="V54" s="34" t="n"/>
      <x:c r="W54" s="33" t="n"/>
      <x:c r="X54" s="33" t="n"/>
      <x:c r="Y54" s="33" t="n"/>
      <x:c r="Z54" s="34" t="n"/>
      <x:c r="AA54" s="34" t="n"/>
      <x:c r="AB54" s="33" t="n"/>
      <x:c r="AC54" s="33" t="n"/>
      <x:c r="AD54" s="35" t="str">
        <x:f>IF(P54="","",P54-LN(7))</x:f>
      </x:c>
      <x:c r="AE54" s="35" t="str">
        <x:f>IF(OR(T54="",S54=""),"",T54-S54)</x:f>
      </x:c>
      <x:c r="AF54" s="35" t="str">
        <x:f>IF(OR(V54="",Seeds!$C$8=""),"",V54-Seeds!$C$8)</x:f>
      </x:c>
      <x:c r="AG54" s="35" t="str">
        <x:f>IF(OR(AF54="",Seeds!$C$10=""),"",IF(ABS(AF54)&gt;Seeds!$C$10,"Có","Không"))</x:f>
      </x:c>
    </x:row>
    <x:row r="55" s="20" customFormat="1" ht="15" customHeight="1">
      <x:c r="A55" s="33" t="n"/>
      <x:c r="B55" s="33" t="n"/>
      <x:c r="C55" s="33" t="n"/>
      <x:c r="D55" s="33" t="n"/>
      <x:c r="E55" s="33" t="n"/>
      <x:c r="F55" s="33" t="n"/>
      <x:c r="G55" s="33" t="n"/>
      <x:c r="H55" s="33" t="n"/>
      <x:c r="I55" s="33" t="n"/>
      <x:c r="J55" s="33" t="n"/>
      <x:c r="K55" s="33" t="n"/>
      <x:c r="L55" s="33" t="n"/>
      <x:c r="M55" s="33" t="n"/>
      <x:c r="N55" s="33" t="n"/>
      <x:c r="O55" s="33" t="n"/>
      <x:c r="P55" s="34" t="n"/>
      <x:c r="Q55" s="34" t="n"/>
      <x:c r="R55" s="33" t="n"/>
      <x:c r="S55" s="34" t="n"/>
      <x:c r="T55" s="34" t="n"/>
      <x:c r="U55" s="34" t="n"/>
      <x:c r="V55" s="34" t="n"/>
      <x:c r="W55" s="33" t="n"/>
      <x:c r="X55" s="33" t="n"/>
      <x:c r="Y55" s="33" t="n"/>
      <x:c r="Z55" s="34" t="n"/>
      <x:c r="AA55" s="34" t="n"/>
      <x:c r="AB55" s="33" t="n"/>
      <x:c r="AC55" s="33" t="n"/>
      <x:c r="AD55" s="35" t="str">
        <x:f>IF(P55="","",P55-LN(7))</x:f>
      </x:c>
      <x:c r="AE55" s="35" t="str">
        <x:f>IF(OR(T55="",S55=""),"",T55-S55)</x:f>
      </x:c>
      <x:c r="AF55" s="35" t="str">
        <x:f>IF(OR(V55="",Seeds!$C$8=""),"",V55-Seeds!$C$8)</x:f>
      </x:c>
      <x:c r="AG55" s="35" t="str">
        <x:f>IF(OR(AF55="",Seeds!$C$10=""),"",IF(ABS(AF55)&gt;Seeds!$C$10,"Có","Không"))</x:f>
      </x:c>
    </x:row>
    <x:row r="56" s="20" customFormat="1" ht="15" customHeight="1">
      <x:c r="A56" s="33" t="n"/>
      <x:c r="B56" s="33" t="n"/>
      <x:c r="C56" s="33" t="n"/>
      <x:c r="D56" s="33" t="n"/>
      <x:c r="E56" s="33" t="n"/>
      <x:c r="F56" s="33" t="n"/>
      <x:c r="G56" s="33" t="n"/>
      <x:c r="H56" s="33" t="n"/>
      <x:c r="I56" s="33" t="n"/>
      <x:c r="J56" s="33" t="n"/>
      <x:c r="K56" s="33" t="n"/>
      <x:c r="L56" s="33" t="n"/>
      <x:c r="M56" s="33" t="n"/>
      <x:c r="N56" s="33" t="n"/>
      <x:c r="O56" s="33" t="n"/>
      <x:c r="P56" s="34" t="n"/>
      <x:c r="Q56" s="34" t="n"/>
      <x:c r="R56" s="33" t="n"/>
      <x:c r="S56" s="34" t="n"/>
      <x:c r="T56" s="34" t="n"/>
      <x:c r="U56" s="34" t="n"/>
      <x:c r="V56" s="34" t="n"/>
      <x:c r="W56" s="33" t="n"/>
      <x:c r="X56" s="33" t="n"/>
      <x:c r="Y56" s="33" t="n"/>
      <x:c r="Z56" s="34" t="n"/>
      <x:c r="AA56" s="34" t="n"/>
      <x:c r="AB56" s="33" t="n"/>
      <x:c r="AC56" s="33" t="n"/>
      <x:c r="AD56" s="35" t="str">
        <x:f>IF(P56="","",P56-LN(7))</x:f>
      </x:c>
      <x:c r="AE56" s="35" t="str">
        <x:f>IF(OR(T56="",S56=""),"",T56-S56)</x:f>
      </x:c>
      <x:c r="AF56" s="35" t="str">
        <x:f>IF(OR(V56="",Seeds!$C$8=""),"",V56-Seeds!$C$8)</x:f>
      </x:c>
      <x:c r="AG56" s="35" t="str">
        <x:f>IF(OR(AF56="",Seeds!$C$10=""),"",IF(ABS(AF56)&gt;Seeds!$C$10,"Có","Không"))</x:f>
      </x:c>
    </x:row>
    <x:row r="57" s="20" customFormat="1" ht="15" customHeight="1">
      <x:c r="A57" s="33" t="n"/>
      <x:c r="B57" s="33" t="n"/>
      <x:c r="C57" s="33" t="n"/>
      <x:c r="D57" s="33" t="n"/>
      <x:c r="E57" s="33" t="n"/>
      <x:c r="F57" s="33" t="n"/>
      <x:c r="G57" s="33" t="n"/>
      <x:c r="H57" s="33" t="n"/>
      <x:c r="I57" s="33" t="n"/>
      <x:c r="J57" s="33" t="n"/>
      <x:c r="K57" s="33" t="n"/>
      <x:c r="L57" s="33" t="n"/>
      <x:c r="M57" s="33" t="n"/>
      <x:c r="N57" s="33" t="n"/>
      <x:c r="O57" s="33" t="n"/>
      <x:c r="P57" s="34" t="n"/>
      <x:c r="Q57" s="34" t="n"/>
      <x:c r="R57" s="33" t="n"/>
      <x:c r="S57" s="34" t="n"/>
      <x:c r="T57" s="34" t="n"/>
      <x:c r="U57" s="34" t="n"/>
      <x:c r="V57" s="34" t="n"/>
      <x:c r="W57" s="33" t="n"/>
      <x:c r="X57" s="33" t="n"/>
      <x:c r="Y57" s="33" t="n"/>
      <x:c r="Z57" s="34" t="n"/>
      <x:c r="AA57" s="34" t="n"/>
      <x:c r="AB57" s="33" t="n"/>
      <x:c r="AC57" s="33" t="n"/>
      <x:c r="AD57" s="35" t="str">
        <x:f>IF(P57="","",P57-LN(7))</x:f>
      </x:c>
      <x:c r="AE57" s="35" t="str">
        <x:f>IF(OR(T57="",S57=""),"",T57-S57)</x:f>
      </x:c>
      <x:c r="AF57" s="35" t="str">
        <x:f>IF(OR(V57="",Seeds!$C$8=""),"",V57-Seeds!$C$8)</x:f>
      </x:c>
      <x:c r="AG57" s="35" t="str">
        <x:f>IF(OR(AF57="",Seeds!$C$10=""),"",IF(ABS(AF57)&gt;Seeds!$C$10,"Có","Không"))</x:f>
      </x:c>
    </x:row>
    <x:row r="58" s="20" customFormat="1" ht="15" customHeight="1">
      <x:c r="A58" s="33" t="n"/>
      <x:c r="B58" s="33" t="n"/>
      <x:c r="C58" s="33" t="n"/>
      <x:c r="D58" s="33" t="n"/>
      <x:c r="E58" s="33" t="n"/>
      <x:c r="F58" s="33" t="n"/>
      <x:c r="G58" s="33" t="n"/>
      <x:c r="H58" s="33" t="n"/>
      <x:c r="I58" s="33" t="n"/>
      <x:c r="J58" s="33" t="n"/>
      <x:c r="K58" s="33" t="n"/>
      <x:c r="L58" s="33" t="n"/>
      <x:c r="M58" s="33" t="n"/>
      <x:c r="N58" s="33" t="n"/>
      <x:c r="O58" s="33" t="n"/>
      <x:c r="P58" s="34" t="n"/>
      <x:c r="Q58" s="34" t="n"/>
      <x:c r="R58" s="33" t="n"/>
      <x:c r="S58" s="34" t="n"/>
      <x:c r="T58" s="34" t="n"/>
      <x:c r="U58" s="34" t="n"/>
      <x:c r="V58" s="34" t="n"/>
      <x:c r="W58" s="33" t="n"/>
      <x:c r="X58" s="33" t="n"/>
      <x:c r="Y58" s="33" t="n"/>
      <x:c r="Z58" s="34" t="n"/>
      <x:c r="AA58" s="34" t="n"/>
      <x:c r="AB58" s="33" t="n"/>
      <x:c r="AC58" s="33" t="n"/>
      <x:c r="AD58" s="35" t="str">
        <x:f>IF(P58="","",P58-LN(7))</x:f>
      </x:c>
      <x:c r="AE58" s="35" t="str">
        <x:f>IF(OR(T58="",S58=""),"",T58-S58)</x:f>
      </x:c>
      <x:c r="AF58" s="35" t="str">
        <x:f>IF(OR(V58="",Seeds!$C$8=""),"",V58-Seeds!$C$8)</x:f>
      </x:c>
      <x:c r="AG58" s="35" t="str">
        <x:f>IF(OR(AF58="",Seeds!$C$10=""),"",IF(ABS(AF58)&gt;Seeds!$C$10,"Có","Không"))</x:f>
      </x:c>
    </x:row>
    <x:row r="59" s="20" customFormat="1" ht="15" customHeight="1">
      <x:c r="A59" s="33" t="n"/>
      <x:c r="B59" s="33" t="n"/>
      <x:c r="C59" s="33" t="n"/>
      <x:c r="D59" s="33" t="n"/>
      <x:c r="E59" s="33" t="n"/>
      <x:c r="F59" s="33" t="n"/>
      <x:c r="G59" s="33" t="n"/>
      <x:c r="H59" s="33" t="n"/>
      <x:c r="I59" s="33" t="n"/>
      <x:c r="J59" s="33" t="n"/>
      <x:c r="K59" s="33" t="n"/>
      <x:c r="L59" s="33" t="n"/>
      <x:c r="M59" s="33" t="n"/>
      <x:c r="N59" s="33" t="n"/>
      <x:c r="O59" s="33" t="n"/>
      <x:c r="P59" s="34" t="n"/>
      <x:c r="Q59" s="34" t="n"/>
      <x:c r="R59" s="33" t="n"/>
      <x:c r="S59" s="34" t="n"/>
      <x:c r="T59" s="34" t="n"/>
      <x:c r="U59" s="34" t="n"/>
      <x:c r="V59" s="34" t="n"/>
      <x:c r="W59" s="33" t="n"/>
      <x:c r="X59" s="33" t="n"/>
      <x:c r="Y59" s="33" t="n"/>
      <x:c r="Z59" s="34" t="n"/>
      <x:c r="AA59" s="34" t="n"/>
      <x:c r="AB59" s="33" t="n"/>
      <x:c r="AC59" s="33" t="n"/>
      <x:c r="AD59" s="35" t="str">
        <x:f>IF(P59="","",P59-LN(7))</x:f>
      </x:c>
      <x:c r="AE59" s="35" t="str">
        <x:f>IF(OR(T59="",S59=""),"",T59-S59)</x:f>
      </x:c>
      <x:c r="AF59" s="35" t="str">
        <x:f>IF(OR(V59="",Seeds!$C$8=""),"",V59-Seeds!$C$8)</x:f>
      </x:c>
      <x:c r="AG59" s="35" t="str">
        <x:f>IF(OR(AF59="",Seeds!$C$10=""),"",IF(ABS(AF59)&gt;Seeds!$C$10,"Có","Không"))</x:f>
      </x:c>
    </x:row>
    <x:row r="60" s="20" customFormat="1" ht="15" customHeight="1">
      <x:c r="A60" s="33" t="n"/>
      <x:c r="B60" s="33" t="n"/>
      <x:c r="C60" s="33" t="n"/>
      <x:c r="D60" s="33" t="n"/>
      <x:c r="E60" s="33" t="n"/>
      <x:c r="F60" s="33" t="n"/>
      <x:c r="G60" s="33" t="n"/>
      <x:c r="H60" s="33" t="n"/>
      <x:c r="I60" s="33" t="n"/>
      <x:c r="J60" s="33" t="n"/>
      <x:c r="K60" s="33" t="n"/>
      <x:c r="L60" s="33" t="n"/>
      <x:c r="M60" s="33" t="n"/>
      <x:c r="N60" s="33" t="n"/>
      <x:c r="O60" s="33" t="n"/>
      <x:c r="P60" s="34" t="n"/>
      <x:c r="Q60" s="34" t="n"/>
      <x:c r="R60" s="33" t="n"/>
      <x:c r="S60" s="34" t="n"/>
      <x:c r="T60" s="34" t="n"/>
      <x:c r="U60" s="34" t="n"/>
      <x:c r="V60" s="34" t="n"/>
      <x:c r="W60" s="33" t="n"/>
      <x:c r="X60" s="33" t="n"/>
      <x:c r="Y60" s="33" t="n"/>
      <x:c r="Z60" s="34" t="n"/>
      <x:c r="AA60" s="34" t="n"/>
      <x:c r="AB60" s="33" t="n"/>
      <x:c r="AC60" s="33" t="n"/>
      <x:c r="AD60" s="35" t="str">
        <x:f>IF(P60="","",P60-LN(7))</x:f>
      </x:c>
      <x:c r="AE60" s="35" t="str">
        <x:f>IF(OR(T60="",S60=""),"",T60-S60)</x:f>
      </x:c>
      <x:c r="AF60" s="35" t="str">
        <x:f>IF(OR(V60="",Seeds!$C$8=""),"",V60-Seeds!$C$8)</x:f>
      </x:c>
      <x:c r="AG60" s="35" t="str">
        <x:f>IF(OR(AF60="",Seeds!$C$10=""),"",IF(ABS(AF60)&gt;Seeds!$C$10,"Có","Không"))</x:f>
      </x:c>
    </x:row>
    <x:row r="61" s="20" customFormat="1" ht="15" customHeight="1">
      <x:c r="A61" s="33" t="n"/>
      <x:c r="B61" s="33" t="n"/>
      <x:c r="C61" s="33" t="n"/>
      <x:c r="D61" s="33" t="n"/>
      <x:c r="E61" s="33" t="n"/>
      <x:c r="F61" s="33" t="n"/>
      <x:c r="G61" s="33" t="n"/>
      <x:c r="H61" s="33" t="n"/>
      <x:c r="I61" s="33" t="n"/>
      <x:c r="J61" s="33" t="n"/>
      <x:c r="K61" s="33" t="n"/>
      <x:c r="L61" s="33" t="n"/>
      <x:c r="M61" s="33" t="n"/>
      <x:c r="N61" s="33" t="n"/>
      <x:c r="O61" s="33" t="n"/>
      <x:c r="P61" s="34" t="n"/>
      <x:c r="Q61" s="34" t="n"/>
      <x:c r="R61" s="33" t="n"/>
      <x:c r="S61" s="34" t="n"/>
      <x:c r="T61" s="34" t="n"/>
      <x:c r="U61" s="34" t="n"/>
      <x:c r="V61" s="34" t="n"/>
      <x:c r="W61" s="33" t="n"/>
      <x:c r="X61" s="33" t="n"/>
      <x:c r="Y61" s="33" t="n"/>
      <x:c r="Z61" s="34" t="n"/>
      <x:c r="AA61" s="34" t="n"/>
      <x:c r="AB61" s="33" t="n"/>
      <x:c r="AC61" s="33" t="n"/>
      <x:c r="AD61" s="35" t="str">
        <x:f>IF(P61="","",P61-LN(7))</x:f>
      </x:c>
      <x:c r="AE61" s="35" t="str">
        <x:f>IF(OR(T61="",S61=""),"",T61-S61)</x:f>
      </x:c>
      <x:c r="AF61" s="35" t="str">
        <x:f>IF(OR(V61="",Seeds!$C$8=""),"",V61-Seeds!$C$8)</x:f>
      </x:c>
      <x:c r="AG61" s="35" t="str">
        <x:f>IF(OR(AF61="",Seeds!$C$10=""),"",IF(ABS(AF61)&gt;Seeds!$C$10,"Có","Không"))</x:f>
      </x:c>
    </x:row>
  </x:sheetData>
  <x:dataValidations count="6">
    <x:dataValidation type="list" errorStyle="stop" operator="between" allowBlank="1" showDropDown="0" showInputMessage="0" showErrorMessage="0" sqref="B2:B61">
      <x:formula1>"baseline,loss,optimizer,hparam,dropout,clipping,amp,init,final,other"</x:formula1>
      <x:formula2>0</x:formula2>
    </x:dataValidation>
    <x:dataValidation type="list" errorStyle="stop" operator="between" allowBlank="1" showDropDown="0" showInputMessage="0" showErrorMessage="0" sqref="D2:D61">
      <x:formula1>"CE,MSE"</x:formula1>
      <x:formula2>0</x:formula2>
    </x:dataValidation>
    <x:dataValidation type="list" errorStyle="stop" operator="between" allowBlank="1" showDropDown="0" showInputMessage="0" showErrorMessage="0" sqref="E2:E61">
      <x:formula1>"SGD,SGD+momentum,Adam,AdamW"</x:formula1>
      <x:formula2>0</x:formula2>
    </x:dataValidation>
    <x:dataValidation type="list" errorStyle="stop" operator="between" allowBlank="1" showDropDown="0" showInputMessage="0" showErrorMessage="0" sqref="M2:M61">
      <x:formula1>"fp32,fp16,bf16"</x:formula1>
      <x:formula2>0</x:formula2>
    </x:dataValidation>
    <x:dataValidation type="list" errorStyle="stop" operator="between" allowBlank="1" showDropDown="0" showInputMessage="0" showErrorMessage="0" sqref="N2:N61">
      <x:formula1>"zeros,normal,xavier,he,default"</x:formula1>
      <x:formula2>0</x:formula2>
    </x:dataValidation>
    <x:dataValidation type="list" errorStyle="stop" operator="between" allowBlank="1" showDropDown="0" showInputMessage="0" showErrorMessage="0" sqref="Y2:Y61">
      <x:formula1>"Y,N"</x:formula1>
      <x:formula2>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26" style="19" customWidth="1"/>
    <x:col min="2" max="4" width="16" style="19" customWidth="1"/>
  </x:cols>
  <x:sheetData>
    <x:row r="1" s="20" customFormat="1" ht="30" customHeight="1">
      <x:c r="A1" s="27" t="inlineStr">
        <x:is>
          <x:t xml:space="preserve">exp_id baseline (nhập)</x:t>
        </x:is>
      </x:c>
      <x:c r="B1" s="27" t="inlineStr">
        <x:is>
          <x:t xml:space="preserve">val_acc</x:t>
        </x:is>
      </x:c>
      <x:c r="C1" s="27" t="inlineStr">
        <x:is>
          <x:t xml:space="preserve">val_macro_f1</x:t>
        </x:is>
      </x:c>
      <x:c r="D1" s="27" t="inlineStr">
        <x:is>
          <x:t xml:space="preserve">best_val_loss</x:t>
        </x:is>
      </x:c>
    </x:row>
    <x:row r="2" s="20" customFormat="1" ht="15" customHeight="1">
      <x:c r="A2" s="32" t="inlineStr">
        <x:is>
          <x:t xml:space="preserve">base-s1</x:t>
        </x:is>
      </x:c>
      <x:c r="B2" s="35" t="n">
        <x:f>IF($A2="","",IFERROR(IF(INDEX(Experiments!$U$2:$U$61,MATCH($A2,Experiments!$A$2:$A$61,0))="","",INDEX(Experiments!$U$2:$U$61,MATCH($A2,Experiments!$A$2:$A$61,0))),""))</x:f>
        <x:v>0.9053806931864633</x:v>
      </x:c>
      <x:c r="C2" s="35" t="n">
        <x:f>IF($A2="","",IFERROR(IF(INDEX(Experiments!$V$2:$V$61,MATCH($A2,Experiments!$A$2:$A$61,0))="","",INDEX(Experiments!$V$2:$V$61,MATCH($A2,Experiments!$A$2:$A$61,0))),""))</x:f>
        <x:v>0.8390357563558714</x:v>
      </x:c>
      <x:c r="D2" s="35" t="n">
        <x:f>IF($A2="","",IFERROR(IF(INDEX(Experiments!$Q$2:$Q$61,MATCH($A2,Experiments!$A$2:$A$61,0))="","",INDEX(Experiments!$Q$2:$Q$61,MATCH($A2,Experiments!$A$2:$A$61,0))),""))</x:f>
        <x:v>0.2379235743460702</x:v>
      </x:c>
    </x:row>
    <x:row r="3" s="20" customFormat="1" ht="15" customHeight="1">
      <x:c r="A3" s="32" t="inlineStr">
        <x:is>
          <x:t xml:space="preserve">base-s2</x:t>
        </x:is>
      </x:c>
      <x:c r="B3" s="35" t="n">
        <x:f>IF($A3="","",IFERROR(IF(INDEX(Experiments!$U$2:$U$61,MATCH($A3,Experiments!$A$2:$A$61,0))="","",INDEX(Experiments!$U$2:$U$61,MATCH($A3,Experiments!$A$2:$A$61,0))),""))</x:f>
        <x:v>0.909984724941374</x:v>
      </x:c>
      <x:c r="C3" s="35" t="n">
        <x:f>IF($A3="","",IFERROR(IF(INDEX(Experiments!$V$2:$V$61,MATCH($A3,Experiments!$A$2:$A$61,0))="","",INDEX(Experiments!$V$2:$V$61,MATCH($A3,Experiments!$A$2:$A$61,0))),""))</x:f>
        <x:v>0.860050003346835</x:v>
      </x:c>
      <x:c r="D3" s="35" t="n">
        <x:f>IF($A3="","",IFERROR(IF(INDEX(Experiments!$Q$2:$Q$61,MATCH($A3,Experiments!$A$2:$A$61,0))="","",INDEX(Experiments!$Q$2:$Q$61,MATCH($A3,Experiments!$A$2:$A$61,0))),""))</x:f>
        <x:v>0.2278535272960154</x:v>
      </x:c>
    </x:row>
    <x:row r="4" s="20" customFormat="1" ht="15" customHeight="1">
      <x:c r="A4" s="32" t="inlineStr">
        <x:is>
          <x:t xml:space="preserve">base-s3</x:t>
        </x:is>
      </x:c>
      <x:c r="B4" s="35" t="n">
        <x:f>IF($A4="","",IFERROR(IF(INDEX(Experiments!$U$2:$U$61,MATCH($A4,Experiments!$A$2:$A$61,0))="","",INDEX(Experiments!$U$2:$U$61,MATCH($A4,Experiments!$A$2:$A$61,0))),""))</x:f>
        <x:v>0.9091026440911341</x:v>
      </x:c>
      <x:c r="C4" s="35" t="n">
        <x:f>IF($A4="","",IFERROR(IF(INDEX(Experiments!$V$2:$V$61,MATCH($A4,Experiments!$A$2:$A$61,0))="","",INDEX(Experiments!$V$2:$V$61,MATCH($A4,Experiments!$A$2:$A$61,0))),""))</x:f>
        <x:v>0.861445259482039</x:v>
      </x:c>
      <x:c r="D4" s="35" t="n">
        <x:f>IF($A4="","",IFERROR(IF(INDEX(Experiments!$Q$2:$Q$61,MATCH($A4,Experiments!$A$2:$A$61,0))="","",INDEX(Experiments!$Q$2:$Q$61,MATCH($A4,Experiments!$A$2:$A$61,0))),""))</x:f>
        <x:v>0.2276589681332745</x:v>
      </x:c>
    </x:row>
    <x:row r="5" s="20" customFormat="1" ht="15" customHeight="1">
      <x:c r="A5" s="33" t="n"/>
      <x:c r="B5" s="35" t="str">
        <x:f>IF($A5="","",IFERROR(IF(INDEX(Experiments!$U$2:$U$61,MATCH($A5,Experiments!$A$2:$A$61,0))="","",INDEX(Experiments!$U$2:$U$61,MATCH($A5,Experiments!$A$2:$A$61,0))),""))</x:f>
      </x:c>
      <x:c r="C5" s="35" t="str">
        <x:f>IF($A5="","",IFERROR(IF(INDEX(Experiments!$V$2:$V$61,MATCH($A5,Experiments!$A$2:$A$61,0))="","",INDEX(Experiments!$V$2:$V$61,MATCH($A5,Experiments!$A$2:$A$61,0))),""))</x:f>
      </x:c>
      <x:c r="D5" s="35" t="str">
        <x:f>IF($A5="","",IFERROR(IF(INDEX(Experiments!$Q$2:$Q$61,MATCH($A5,Experiments!$A$2:$A$61,0))="","",INDEX(Experiments!$Q$2:$Q$61,MATCH($A5,Experiments!$A$2:$A$61,0))),""))</x:f>
      </x:c>
    </x:row>
    <x:row r="6" s="20" customFormat="1" ht="15" customHeight="1">
      <x:c r="A6" s="33" t="n"/>
      <x:c r="B6" s="35" t="str">
        <x:f>IF($A6="","",IFERROR(IF(INDEX(Experiments!$U$2:$U$61,MATCH($A6,Experiments!$A$2:$A$61,0))="","",INDEX(Experiments!$U$2:$U$61,MATCH($A6,Experiments!$A$2:$A$61,0))),""))</x:f>
      </x:c>
      <x:c r="C6" s="35" t="str">
        <x:f>IF($A6="","",IFERROR(IF(INDEX(Experiments!$V$2:$V$61,MATCH($A6,Experiments!$A$2:$A$61,0))="","",INDEX(Experiments!$V$2:$V$61,MATCH($A6,Experiments!$A$2:$A$61,0))),""))</x:f>
      </x:c>
      <x:c r="D6" s="35" t="str">
        <x:f>IF($A6="","",IFERROR(IF(INDEX(Experiments!$Q$2:$Q$61,MATCH($A6,Experiments!$A$2:$A$61,0))="","",INDEX(Experiments!$Q$2:$Q$61,MATCH($A6,Experiments!$A$2:$A$61,0))),""))</x:f>
      </x:c>
    </x:row>
    <x:row r="8" s="20" customFormat="1" ht="15" customHeight="1">
      <x:c r="A8" s="36" t="inlineStr">
        <x:is>
          <x:t xml:space="preserve">mean</x:t>
        </x:is>
      </x:c>
      <x:c r="B8" s="35" t="n">
        <x:f>IF(COUNT(B2:B6)=0,"",AVERAGE(B2:B6))</x:f>
        <x:v>0.9081560207396571</x:v>
      </x:c>
      <x:c r="C8" s="35" t="n">
        <x:f>IF(COUNT(C2:C6)=0,"",AVERAGE(C2:C6))</x:f>
        <x:v>0.8535103397282485</x:v>
      </x:c>
      <x:c r="D8" s="35" t="n">
        <x:f>IF(COUNT(D2:D6)=0,"",AVERAGE(D2:D6))</x:f>
        <x:v>0.2311453565917867</x:v>
      </x:c>
    </x:row>
    <x:row r="9" s="20" customFormat="1" ht="15" customHeight="1">
      <x:c r="A9" s="36" t="inlineStr">
        <x:is>
          <x:t xml:space="preserve">std (mẫu)</x:t>
        </x:is>
      </x:c>
      <x:c r="B9" s="35" t="n">
        <x:f>IF(COUNT(B2:B6)&lt;2,"",STDEV(B2:B6))</x:f>
        <x:v>0.002443634368564064</x:v>
      </x:c>
      <x:c r="C9" s="35" t="n">
        <x:f>IF(COUNT(C2:C6)&lt;2,"",STDEV(C2:C6))</x:f>
        <x:v>0.012554754389219557</x:v>
      </x:c>
      <x:c r="D9" s="35" t="n">
        <x:f>IF(COUNT(D2:D6)&lt;2,"",STDEV(D2:D6))</x:f>
        <x:v>0.005870914772019319</x:v>
      </x:c>
    </x:row>
    <x:row r="10" s="20" customFormat="1" ht="15" customHeight="1">
      <x:c r="A10" s="36" t="inlineStr">
        <x:is>
          <x:t xml:space="preserve">2σ (ngưỡng nhiễu)</x:t>
        </x:is>
      </x:c>
      <x:c r="B10" s="35" t="n">
        <x:f>IF(B9="","",2*B9)</x:f>
        <x:v>0.004887268737128128</x:v>
      </x:c>
      <x:c r="C10" s="35" t="n">
        <x:f>IF(C9="","",2*C9)</x:f>
        <x:v>0.025109508778439114</x:v>
      </x:c>
      <x:c r="D10" s="35" t="n">
        <x:f>IF(D9="","",2*D9)</x:f>
        <x:v>0.011741829544038638</x:v>
      </x:c>
    </x:row>
    <x:row r="12" s="20" customFormat="1" ht="15" customHeight="1">
      <x:c r="A12" s="22" t="inlineStr">
        <x:is>
          <x:t xml:space="preserve">Nhập exp_id của các lần chạy baseline (khác seed) ở cột A. Cần ≥ 2 seed để có σ.</x:t>
        </x:is>
      </x:c>
    </x:row>
    <x:row r="13" s="20" customFormat="1" ht="15" customHeight="1">
      <x:c r="A13" s="22" t="inlineStr">
        <x:is>
          <x:t xml:space="preserve">Mọi chênh lệch nhỏ hơn 2σ không được coi là bằng chứng. Với ít seed, σ chỉ là ước lượng thô; nêu rõ trong báo cáo.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35" style="19" hidden="0" customWidth="1"/>
    <x:col min="2" max="2" width="36" style="19" hidden="0" customWidth="1"/>
    <x:col min="3" max="5" width="16" style="19" customWidth="1"/>
    <x:col min="6" max="6" width="18" style="19" hidden="0" customWidth="1"/>
    <x:col min="7" max="7" width="16" style="19" customWidth="1"/>
    <x:col min="8" max="8" width="62" style="19" hidden="0" customWidth="1"/>
    <x:col min="3" max="3" width="18" hidden="0" customWidth="1"/>
    <x:col min="4" max="4" width="18" hidden="0" customWidth="1"/>
    <x:col min="5" max="5" width="18" hidden="0" customWidth="1"/>
  </x:cols>
  <x:sheetData>
    <x:row r="1" s="20" customFormat="1" ht="31.5" customHeight="1">
      <x:c r="A1" s="27" t="inlineStr">
        <x:is>
          <x:t xml:space="preserve">group</x:t>
        </x:is>
      </x:c>
      <x:c r="B1" s="27" t="inlineStr">
        <x:is>
          <x:t xml:space="preserve">số dòng</x:t>
        </x:is>
      </x:c>
      <x:c r="C1" s="27" t="inlineStr">
        <x:is>
          <x:t xml:space="preserve">đã điền val_macro_f1</x:t>
        </x:is>
      </x:c>
      <x:c r="D1" s="27" t="inlineStr">
        <x:is>
          <x:t xml:space="preserve">val_macro_f1 cao nhất</x:t>
        </x:is>
      </x:c>
      <x:c r="E1" s="27" t="inlineStr">
        <x:is>
          <x:t xml:space="preserve">val_macro_f1 thấp nhất</x:t>
        </x:is>
      </x:c>
      <x:c r="F1" s="27" t="inlineStr">
        <x:is>
          <x:t xml:space="preserve">val_acc cao nhất</x:t>
        </x:is>
      </x:c>
      <x:c r="G1" s="27" t="inlineStr">
        <x:is>
          <x:t xml:space="preserve">đã thử chủ đề này?</x:t>
        </x:is>
      </x:c>
      <x:c r="H1" s="27" t="inlineStr">
        <x:is>
          <x:t xml:space="preserve">nhận xét ngắn (bạn viết)</x:t>
        </x:is>
      </x:c>
    </x:row>
    <x:row r="2" s="20" customFormat="1" ht="15" hidden="0" customHeight="1">
      <x:c r="A2" s="31" t="inlineStr">
        <x:is>
          <x:t xml:space="preserve">baseline</x:t>
        </x:is>
      </x:c>
      <x:c r="B2" s="37" t="n">
        <x:f>COUNTIF(Experiments!$B$2:$B$61,A2)</x:f>
        <x:v>6</x:v>
      </x:c>
      <x:c r="C2" s="37" t="n">
        <x:f>COUNTIFS(Experiments!$B$2:$B$61,A2,Experiments!$V$2:$V$61,"&lt;&gt;")</x:f>
        <x:v>6</x:v>
      </x:c>
      <x:c r="D2" s="35" t="n">
        <x:f>IF(C2=0,"",_xlfn.MAXIFS(Experiments!$V$2:$V$61,Experiments!$B$2:$B$61,A2))</x:f>
        <x:v>0.861445259482039</x:v>
      </x:c>
      <x:c r="E2" s="35" t="n">
        <x:f>IF(C2=0,"",_xlfn.MINIFS(Experiments!$V$2:$V$61,Experiments!$B$2:$B$61,A2))</x:f>
        <x:v>0.761253355724895</x:v>
      </x:c>
      <x:c r="F2" s="35" t="n">
        <x:f>IF(C2=0,"",_xlfn.MAXIFS(Experiments!$U$2:$U$61,Experiments!$B$2:$B$61,A2))</x:f>
        <x:v>0.909984724941374</x:v>
      </x:c>
      <x:c r="G2" s="37" t="inlineStr">
        <x:is>
          <x:t xml:space="preserve">—</x:t>
        </x:is>
      </x:c>
      <x:c r="H2" s="39" t="str">
        <x:v>SGD momentum 0.9, batch512; lr chọn qua val; 3 seed.</x:v>
      </x:c>
    </x:row>
    <x:row r="3" s="20" customFormat="1" ht="15" hidden="0" customHeight="1">
      <x:c r="A3" s="31" t="inlineStr">
        <x:is>
          <x:t xml:space="preserve">loss</x:t>
        </x:is>
      </x:c>
      <x:c r="B3" s="37" t="n">
        <x:f>COUNTIF(Experiments!$B$2:$B$61,A3)</x:f>
        <x:v>1</x:v>
      </x:c>
      <x:c r="C3" s="37" t="n">
        <x:f>COUNTIFS(Experiments!$B$2:$B$61,A3,Experiments!$V$2:$V$61,"&lt;&gt;")</x:f>
        <x:v>1</x:v>
      </x:c>
      <x:c r="D3" s="35" t="n">
        <x:f>IF(C3=0,"",_xlfn.MAXIFS(Experiments!$V$2:$V$61,Experiments!$B$2:$B$61,A3))</x:f>
        <x:v>0.7276654739925651</x:v>
      </x:c>
      <x:c r="E3" s="35" t="n">
        <x:f>IF(C3=0,"",_xlfn.MINIFS(Experiments!$V$2:$V$61,Experiments!$B$2:$B$61,A3))</x:f>
        <x:v>0.7276654739925651</x:v>
      </x:c>
      <x:c r="F3" s="35" t="n">
        <x:f>IF(C3=0,"",_xlfn.MAXIFS(Experiments!$U$2:$U$61,Experiments!$B$2:$B$61,A3))</x:f>
        <x:v>0.8705062283513694</x:v>
      </x:c>
      <x:c r="G3" s="37" t="str">
        <x:f>IF(C3&gt;0,"Có","Chưa")</x:f>
        <x:v>Có</x:v>
      </x:c>
      <x:c r="H3" s="39" t="str">
        <x:v>loss-mse: F1=0.727665; Δbaseline=-0.111370. Một seed mỗi thử nghiệm.</x:v>
      </x:c>
    </x:row>
    <x:row r="4" s="20" customFormat="1" ht="15" hidden="0" customHeight="1">
      <x:c r="A4" s="31" t="inlineStr">
        <x:is>
          <x:t xml:space="preserve">optimizer</x:t>
        </x:is>
      </x:c>
      <x:c r="B4" s="37" t="n">
        <x:f>COUNTIF(Experiments!$B$2:$B$61,A4)</x:f>
        <x:v>6</x:v>
      </x:c>
      <x:c r="C4" s="37" t="n">
        <x:f>COUNTIFS(Experiments!$B$2:$B$61,A4,Experiments!$V$2:$V$61,"&lt;&gt;")</x:f>
        <x:v>6</x:v>
      </x:c>
      <x:c r="D4" s="35" t="n">
        <x:f>IF(C4=0,"",_xlfn.MAXIFS(Experiments!$V$2:$V$61,Experiments!$B$2:$B$61,A4))</x:f>
        <x:v>0.8677466182111557</x:v>
      </x:c>
      <x:c r="E4" s="35" t="n">
        <x:f>IF(C4=0,"",_xlfn.MINIFS(Experiments!$V$2:$V$61,Experiments!$B$2:$B$61,A4))</x:f>
        <x:v>0.7877390598660482</x:v>
      </x:c>
      <x:c r="F4" s="35" t="n">
        <x:f>IF(C4=0,"",_xlfn.MAXIFS(Experiments!$U$2:$U$61,Experiments!$B$2:$B$61,A4))</x:f>
        <x:v>0.9152879671263527</x:v>
      </x:c>
      <x:c r="G4" s="37" t="str">
        <x:f>IF(C4&gt;0,"Có","Chưa")</x:f>
        <x:v>Có</x:v>
      </x:c>
      <x:c r="H4" s="39" t="str">
        <x:v>adam-lr0.003: F1=0.867747; Δbaseline=0.028711. Một seed mỗi thử nghiệm.</x:v>
      </x:c>
    </x:row>
    <x:row r="5" s="20" customFormat="1" ht="15" hidden="0" customHeight="1">
      <x:c r="A5" s="31" t="inlineStr">
        <x:is>
          <x:t xml:space="preserve">hyperparameter</x:t>
        </x:is>
      </x:c>
      <x:c r="B5" s="37" t="n">
        <x:f>COUNTIF(Experiments!$B$2:$B$61,A5)</x:f>
        <x:v>1</x:v>
      </x:c>
      <x:c r="C5" s="37" t="n">
        <x:f>COUNTIFS(Experiments!$B$2:$B$61,A5,Experiments!$V$2:$V$61,"&lt;&gt;")</x:f>
        <x:v>1</x:v>
      </x:c>
      <x:c r="D5" s="35" t="n">
        <x:f>IF(C5=0,"",_xlfn.MAXIFS(Experiments!$V$2:$V$61,Experiments!$B$2:$B$61,A5))</x:f>
        <x:v>0.7969625312167096</x:v>
      </x:c>
      <x:c r="E5" s="35" t="n">
        <x:f>IF(C5=0,"",_xlfn.MINIFS(Experiments!$V$2:$V$61,Experiments!$B$2:$B$61,A5))</x:f>
        <x:v>0.7969625312167096</x:v>
      </x:c>
      <x:c r="F5" s="35" t="n">
        <x:f>IF(C5=0,"",_xlfn.MAXIFS(Experiments!$U$2:$U$61,Experiments!$B$2:$B$61,A5))</x:f>
        <x:v>0.8851788902992621</x:v>
      </x:c>
      <x:c r="G5" s="37" t="str">
        <x:f>IF(C5&gt;0,"Có","Chưa")</x:f>
        <x:v>Có</x:v>
      </x:c>
      <x:c r="H5" s="39" t="str">
        <x:v>batch2048: F1=0.796963; Δbaseline=-0.042073. Một seed mỗi thử nghiệm.</x:v>
      </x:c>
    </x:row>
    <x:row r="6" s="20" customFormat="1" ht="15" hidden="0" customHeight="1">
      <x:c r="A6" s="31" t="inlineStr">
        <x:is>
          <x:t xml:space="preserve">dropout</x:t>
        </x:is>
      </x:c>
      <x:c r="B6" s="37" t="n">
        <x:f>COUNTIF(Experiments!$B$2:$B$61,A6)</x:f>
        <x:v>1</x:v>
      </x:c>
      <x:c r="C6" s="37" t="n">
        <x:f>COUNTIFS(Experiments!$B$2:$B$61,A6,Experiments!$V$2:$V$61,"&lt;&gt;")</x:f>
        <x:v>1</x:v>
      </x:c>
      <x:c r="D6" s="35" t="n">
        <x:f>IF(C6=0,"",_xlfn.MAXIFS(Experiments!$V$2:$V$61,Experiments!$B$2:$B$61,A6))</x:f>
        <x:v>0.7874882114860531</x:v>
      </x:c>
      <x:c r="E6" s="35" t="n">
        <x:f>IF(C6=0,"",_xlfn.MINIFS(Experiments!$V$2:$V$61,Experiments!$B$2:$B$61,A6))</x:f>
        <x:v>0.7874882114860531</x:v>
      </x:c>
      <x:c r="F6" s="35" t="n">
        <x:f>IF(C6=0,"",_xlfn.MAXIFS(Experiments!$U$2:$U$61,Experiments!$B$2:$B$61,A6))</x:f>
        <x:v>0.8727867300617457</x:v>
      </x:c>
      <x:c r="G6" s="37" t="str">
        <x:f>IF(C6&gt;0,"Có","Chưa")</x:f>
        <x:v>Có</x:v>
      </x:c>
      <x:c r="H6" s="39" t="str">
        <x:v>dropout-p03: F1=0.787488; Δbaseline=-0.051548. Một seed mỗi thử nghiệm.</x:v>
      </x:c>
    </x:row>
    <x:row r="7" s="20" customFormat="1" ht="15" hidden="0" customHeight="1">
      <x:c r="A7" s="31" t="inlineStr">
        <x:is>
          <x:t xml:space="preserve">clipping</x:t>
        </x:is>
      </x:c>
      <x:c r="B7" s="37" t="n">
        <x:f>COUNTIF(Experiments!$B$2:$B$61,A7)</x:f>
        <x:v>3</x:v>
      </x:c>
      <x:c r="C7" s="37" t="n">
        <x:f>COUNTIFS(Experiments!$B$2:$B$61,A7,Experiments!$V$2:$V$61,"&lt;&gt;")</x:f>
        <x:v>3</x:v>
      </x:c>
      <x:c r="D7" s="35" t="n">
        <x:f>IF(C7=0,"",_xlfn.MAXIFS(Experiments!$V$2:$V$61,Experiments!$B$2:$B$61,A7))</x:f>
        <x:v>0.8441129852605526</x:v>
      </x:c>
      <x:c r="E7" s="35" t="n">
        <x:f>IF(C7=0,"",_xlfn.MINIFS(Experiments!$V$2:$V$61,Experiments!$B$2:$B$61,A7))</x:f>
        <x:v>0.7731754847049565</x:v>
      </x:c>
      <x:c r="F7" s="35" t="n">
        <x:f>IF(C7=0,"",_xlfn.MAXIFS(Experiments!$U$2:$U$61,Experiments!$B$2:$B$61,A7))</x:f>
        <x:v>0.9026914223015856</x:v>
      </x:c>
      <x:c r="G7" s="37" t="str">
        <x:f>IF(C7&gt;0,"Có","Chưa")</x:f>
        <x:v>Có</x:v>
      </x:c>
      <x:c r="H7" s="39" t="str">
        <x:v>clip-normal: F1=0.844113; Δbaseline=0.005077. Một seed mỗi thử nghiệm.</x:v>
      </x:c>
    </x:row>
    <x:row r="8" s="20" customFormat="1" ht="15" hidden="0" customHeight="1">
      <x:c r="A8" s="31" t="inlineStr">
        <x:is>
          <x:t xml:space="preserve">mixed_precision</x:t>
        </x:is>
      </x:c>
      <x:c r="B8" s="37" t="n">
        <x:f>COUNTIF(Experiments!$B$2:$B$61,A8)</x:f>
        <x:v>2</x:v>
      </x:c>
      <x:c r="C8" s="37" t="n">
        <x:f>COUNTIFS(Experiments!$B$2:$B$61,A8,Experiments!$V$2:$V$61,"&lt;&gt;")</x:f>
        <x:v>2</x:v>
      </x:c>
      <x:c r="D8" s="35" t="n">
        <x:f>IF(C8=0,"",_xlfn.MAXIFS(Experiments!$V$2:$V$61,Experiments!$B$2:$B$61,A8))</x:f>
        <x:v>0.8515042026567495</x:v>
      </x:c>
      <x:c r="E8" s="35" t="n">
        <x:f>IF(C8=0,"",_xlfn.MINIFS(Experiments!$V$2:$V$61,Experiments!$B$2:$B$61,A8))</x:f>
        <x:v>0.8366261256178422</x:v>
      </x:c>
      <x:c r="F8" s="35" t="n">
        <x:f>IF(C8=0,"",_xlfn.MAXIFS(Experiments!$U$2:$U$61,Experiments!$B$2:$B$61,A8))</x:f>
        <x:v>0.9055635636066349</x:v>
      </x:c>
      <x:c r="G8" s="37" t="str">
        <x:f>IF(C8&gt;0,"Có","Chưa")</x:f>
        <x:v>Có</x:v>
      </x:c>
      <x:c r="H8" s="39" t="str">
        <x:v>precision-fp16: F1=0.851504; Δbaseline=0.012468. Một seed mỗi thử nghiệm.</x:v>
      </x:c>
    </x:row>
    <x:row r="9" s="20" customFormat="1" ht="15" hidden="0" customHeight="1">
      <x:c r="A9" s="31" t="inlineStr">
        <x:is>
          <x:t xml:space="preserve">initialization</x:t>
        </x:is>
      </x:c>
      <x:c r="B9" s="37" t="n">
        <x:f>COUNTIF(Experiments!$B$2:$B$61,A9)</x:f>
        <x:v>3</x:v>
      </x:c>
      <x:c r="C9" s="37" t="n">
        <x:f>COUNTIFS(Experiments!$B$2:$B$61,A9,Experiments!$V$2:$V$61,"&lt;&gt;")</x:f>
        <x:v>3</x:v>
      </x:c>
      <x:c r="D9" s="35" t="n">
        <x:f>IF(C9=0,"",_xlfn.MAXIFS(Experiments!$V$2:$V$61,Experiments!$B$2:$B$61,A9))</x:f>
        <x:v>0.8514344709948414</x:v>
      </x:c>
      <x:c r="E9" s="35" t="n">
        <x:f>IF(C9=0,"",_xlfn.MINIFS(Experiments!$V$2:$V$61,Experiments!$B$2:$B$61,A9))</x:f>
        <x:v>0.09364999018625454</x:v>
      </x:c>
      <x:c r="F9" s="35" t="n">
        <x:f>IF(C9=0,"",_xlfn.MAXIFS(Experiments!$U$2:$U$61,Experiments!$B$2:$B$61,A9))</x:f>
        <x:v>0.9072309115552591</x:v>
      </x:c>
      <x:c r="G9" s="37" t="str">
        <x:f>IF(C9&gt;0,"Có","Chưa")</x:f>
        <x:v>Có</x:v>
      </x:c>
      <x:c r="H9" s="39" t="str">
        <x:v>init-xavier: F1=0.851434; Δbaseline=0.012399. Một seed mỗi thử nghiệm.</x:v>
      </x:c>
    </x:row>
    <x:row r="10" s="20" customFormat="1" ht="15" customHeight="1">
      <x:c r="A10" s="31" t="inlineStr">
        <x:is>
          <x:t xml:space="preserve">final</x:t>
        </x:is>
      </x:c>
      <x:c r="B10" s="37" t="n">
        <x:f>COUNTIF(Experiments!$B$2:$B$61,A10)</x:f>
        <x:v>0</x:v>
      </x:c>
      <x:c r="C10" s="37" t="n">
        <x:f>COUNTIFS(Experiments!$B$2:$B$61,A10,Experiments!$V$2:$V$61,"&lt;&gt;")</x:f>
        <x:v>0</x:v>
      </x:c>
      <x:c r="D10" s="35" t="str">
        <x:f>IF(C10=0,"",_xlfn.MAXIFS(Experiments!$V$2:$V$61,Experiments!$B$2:$B$61,A10))</x:f>
      </x:c>
      <x:c r="E10" s="35" t="str">
        <x:f>IF(C10=0,"",_xlfn.MINIFS(Experiments!$V$2:$V$61,Experiments!$B$2:$B$61,A10))</x:f>
      </x:c>
      <x:c r="F10" s="35" t="str">
        <x:f>IF(C10=0,"",_xlfn.MAXIFS(Experiments!$U$2:$U$61,Experiments!$B$2:$B$61,A10))</x:f>
      </x:c>
      <x:c r="G10" s="37" t="inlineStr">
        <x:is>
          <x:t xml:space="preserve">—</x:t>
        </x:is>
      </x:c>
      <x:c r="H10" s="38" t="n"/>
    </x:row>
    <x:row r="11" s="20" customFormat="1" ht="15" customHeight="1">
      <x:c r="A11" s="31" t="inlineStr">
        <x:is>
          <x:t xml:space="preserve">other</x:t>
        </x:is>
      </x:c>
      <x:c r="B11" s="37" t="n">
        <x:f>COUNTIF(Experiments!$B$2:$B$61,A11)</x:f>
        <x:v>2</x:v>
      </x:c>
      <x:c r="C11" s="37" t="n">
        <x:f>COUNTIFS(Experiments!$B$2:$B$61,A11,Experiments!$V$2:$V$61,"&lt;&gt;")</x:f>
        <x:v>2</x:v>
      </x:c>
      <x:c r="D11" s="35" t="n">
        <x:f>IF(C11=0,"",_xlfn.MAXIFS(Experiments!$V$2:$V$61,Experiments!$B$2:$B$61,A11))</x:f>
        <x:v>0.8718252825287924</x:v>
      </x:c>
      <x:c r="E11" s="35" t="n">
        <x:f>IF(C11=0,"",_xlfn.MINIFS(Experiments!$V$2:$V$61,Experiments!$B$2:$B$61,A11))</x:f>
        <x:v>0.86256369796698</x:v>
      </x:c>
      <x:c r="F11" s="35" t="n">
        <x:f>IF(C11=0,"",_xlfn.MAXIFS(Experiments!$U$2:$U$61,Experiments!$B$2:$B$61,A11))</x:f>
        <x:v>0.9172242421634647</x:v>
      </x:c>
      <x:c r="G11" s="37" t="inlineStr">
        <x:is>
          <x:t xml:space="preserve">—</x:t>
        </x:is>
      </x:c>
      <x:c r="H11" s="38" t="n"/>
    </x:row>
    <x:row r="13" s="20" customFormat="1" ht="15" customHeight="1">
      <x:c r="A13" s="23" t="inlineStr">
        <x:is>
          <x:t xml:space="preserve">Số chủ đề (trong 7) đã thử:</x:t>
        </x:is>
      </x:c>
      <x:c r="D13" s="23" t="n">
        <x:f>COUNTIF(G2:G11,"Có")</x:f>
        <x:v>7</x:v>
      </x:c>
    </x:row>
    <x:row r="14" s="20" customFormat="1" ht="15" customHeight="1">
      <x:c r="A14" s="22" t="inlineStr">
        <x:is>
          <x:t xml:space="preserve">7 chủ đề: loss, optimizer, hyperparameter, dropout, clipping, mixed_precision, initialization.</x:t>
        </x:is>
      </x:c>
    </x:row>
    <x:row r="20" ht="15" hidden="0" customHeight="1">
      <x:c r="A20" s="45" t="inlineStr">
        <x:is>
          <x:t xml:space="preserve">Metric</x:t>
        </x:is>
      </x:c>
      <x:c r="B20" s="45" t="inlineStr">
        <x:is>
          <x:t xml:space="preserve">exp_id / source</x:t>
        </x:is>
      </x:c>
      <x:c r="C20" s="46" t="inlineStr">
        <x:is>
          <x:t xml:space="preserve">value</x:t>
        </x:is>
      </x:c>
      <x:c r="D20" s="46" t="inlineStr">
        <x:is>
          <x:t xml:space="preserve">std / detail</x:t>
        </x:is>
      </x:c>
      <x:c r="E20" s="46"/>
      <x:c r="F20" s="46"/>
    </x:row>
    <x:row r="21" ht="15" hidden="0" customHeight="1">
      <x:c r="A21" s="41" t="inlineStr">
        <x:is>
          <x:t xml:space="preserve">Baseline val macro-F1</x:t>
        </x:is>
      </x:c>
      <x:c r="B21" s="41" t="inlineStr">
        <x:is>
          <x:t xml:space="preserve">base-s1..3</x:t>
        </x:is>
      </x:c>
      <x:c r="C21" s="42" t="n">
        <x:v>0.8535103397282485</x:v>
      </x:c>
      <x:c r="D21" s="42" t="n">
        <x:v>0.01255475438921956</x:v>
      </x:c>
      <x:c r="E21" s="42"/>
      <x:c r="F21" s="42"/>
    </x:row>
    <x:row r="22" ht="15" hidden="0" customHeight="1">
      <x:c r="A22" s="41" t="inlineStr">
        <x:is>
          <x:t xml:space="preserve">Baseline val accuracy</x:t>
        </x:is>
      </x:c>
      <x:c r="B22" s="41" t="inlineStr">
        <x:is>
          <x:t xml:space="preserve">base-s1..3</x:t>
        </x:is>
      </x:c>
      <x:c r="C22" s="42" t="n">
        <x:v>0.9081560207396571</x:v>
      </x:c>
      <x:c r="D22" s="42" t="n">
        <x:v>0.002443634368564064</x:v>
      </x:c>
      <x:c r="E22" s="42"/>
      <x:c r="F22" s="42"/>
    </x:row>
    <x:row r="23" ht="15" hidden="0" customHeight="1">
      <x:c r="A23" s="41" t="inlineStr">
        <x:is>
          <x:t xml:space="preserve">Final eval macro-F1</x:t>
        </x:is>
      </x:c>
      <x:c r="B23" s="41" t="inlineStr">
        <x:is>
          <x:t xml:space="preserve">adam-lr0.003; final-s2; final-s3</x:t>
        </x:is>
      </x:c>
      <x:c r="C23" s="42" t="n">
        <x:v>0.8688705339962425</x:v>
      </x:c>
      <x:c r="D23" s="42" t="n">
        <x:v>0.003280089587279769</x:v>
      </x:c>
      <x:c r="E23" s="42"/>
      <x:c r="F23" s="42"/>
    </x:row>
    <x:row r="24" ht="15" hidden="0" customHeight="1">
      <x:c r="A24" s="41" t="inlineStr">
        <x:is>
          <x:t xml:space="preserve">Noise threshold 2 sigma</x:t>
        </x:is>
      </x:c>
      <x:c r="B24" s="41" t="inlineStr">
        <x:is>
          <x:t xml:space="preserve">base-s1..3</x:t>
        </x:is>
      </x:c>
      <x:c r="C24" s="42" t="n">
        <x:v>0.02510950877843911</x:v>
      </x:c>
      <x:c r="D24" s="42" t="inlineStr">
        <x:is>
          <x:t xml:space="preserve">Validation only</x:t>
        </x:is>
      </x:c>
      <x:c r="E24" s="42"/>
      <x:c r="F24" s="42"/>
    </x:row>
    <x:row r="25" ht="15" hidden="0" customHeight="1">
      <x:c r="A25" s="41" t="inlineStr">
        <x:is>
          <x:t xml:space="preserve">Overfit20 final loss</x:t>
        </x:is>
      </x:c>
      <x:c r="B25" s="41" t="inlineStr">
        <x:is>
          <x:t xml:space="preserve">base-s1 health</x:t>
        </x:is>
      </x:c>
      <x:c r="C25" s="42" t="n">
        <x:v>4.392843038658611e-06</x:v>
      </x:c>
      <x:c r="D25" s="42" t="inlineStr">
        <x:is>
          <x:t xml:space="preserve">500 Adam updates, lr=.01</x:t>
        </x:is>
      </x:c>
      <x:c r="E25" s="42"/>
      <x:c r="F25" s="42"/>
    </x:row>
    <x:row r="26" ht="15" hidden="0" customHeight="1">
      <x:c r="A26" s="41" t="inlineStr">
        <x:is>
          <x:t xml:space="preserve">Overfit20 accuracy</x:t>
        </x:is>
      </x:c>
      <x:c r="B26" s="41" t="inlineStr">
        <x:is>
          <x:t xml:space="preserve">base-s1 health</x:t>
        </x:is>
      </x:c>
      <x:c r="C26" s="42" t="n">
        <x:v>1</x:v>
      </x:c>
      <x:c r="D26" s="42" t="inlineStr">
        <x:is>
          <x:t xml:space="preserve">20 samples</x:t>
        </x:is>
      </x:c>
      <x:c r="E26" s="42"/>
      <x:c r="F26" s="42"/>
    </x:row>
    <x:row r="27" ht="15" hidden="0" customHeight="1">
      <x:c r="A27" s="41" t="inlineStr">
        <x:is>
          <x:t xml:space="preserve">Majority val accuracy</x:t>
        </x:is>
      </x:c>
      <x:c r="B27" s="41" t="inlineStr">
        <x:is>
          <x:t xml:space="preserve">base-s1 health</x:t>
        </x:is>
      </x:c>
      <x:c r="C27" s="42" t="n">
        <x:v>0.4875970780849457</x:v>
      </x:c>
      <x:c r="D27" s="42" t="inlineStr">
        <x:is>
          <x:t xml:space="preserve">Fixed stratified split</x:t>
        </x:is>
      </x:c>
      <x:c r="E27" s="42"/>
      <x:c r="F27" s="42"/>
    </x:row>
    <x:row r="28" ht="15" hidden="0" customHeight="1">
      <x:c r="A28" s="41" t="inlineStr">
        <x:is>
          <x:t xml:space="preserve">Uniform logits CE</x:t>
        </x:is>
      </x:c>
      <x:c r="B28" s="41" t="inlineStr">
        <x:is>
          <x:t xml:space="preserve">base-s1 health</x:t>
        </x:is>
      </x:c>
      <x:c r="C28" s="42" t="n">
        <x:v>1.945909976959229</x:v>
      </x:c>
      <x:c r="D28" s="42" t="inlineStr">
        <x:is>
          <x:t xml:space="preserve">ln(7)</x:t>
        </x:is>
      </x:c>
      <x:c r="E28" s="42"/>
      <x:c r="F28" s="42"/>
    </x:row>
    <x:row r="29" ht="15" hidden="0" customHeight="1">
      <x:c r="A29" s="41" t="inlineStr">
        <x:is>
          <x:t xml:space="preserve">Recorded epoch seconds</x:t>
        </x:is>
      </x:c>
      <x:c r="B29" s="41" t="inlineStr">
        <x:is>
          <x:t xml:space="preserve">all experiment rows</x:t>
        </x:is>
      </x:c>
      <x:c r="C29" s="42" t="n">
        <x:v>685.4039501519983</x:v>
      </x:c>
      <x:c r="D29" s="42" t="inlineStr">
        <x:is>
          <x:t xml:space="preserve">Excludes setup, plotting, health, scoring</x:t>
        </x:is>
      </x:c>
      <x:c r="E29" s="42"/>
      <x:c r="F29" s="42"/>
    </x:row>
    <x:row r="30" ht="15" hidden="0" customHeight="1">
      <x:c r="A30" s="41" t="inlineStr">
        <x:is>
          <x:t xml:space="preserve">Final minus baseline eval F1</x:t>
        </x:is>
      </x:c>
      <x:c r="B30" s="41" t="inlineStr">
        <x:is>
          <x:t xml:space="preserve">adam-lr0.003</x:t>
        </x:is>
      </x:c>
      <x:c r="C30" s="42" t="n">
        <x:v>0.02900697774102767</x:v>
      </x:c>
      <x:c r="D30" s="42" t="inlineStr">
        <x:is>
          <x:t xml:space="preserve">Baseline eval has one seed</x:t>
        </x:is>
      </x:c>
      <x:c r="E30" s="42"/>
      <x:c r="F30" s="42"/>
    </x:row>
    <x:row r="31" ht="15" hidden="0" customHeight="1">
      <x:c r="A31" s="41" t="inlineStr">
        <x:is>
          <x:t xml:space="preserve">Final val/eval F1 gap</x:t>
        </x:is>
      </x:c>
      <x:c r="B31" s="41" t="inlineStr">
        <x:is>
          <x:t xml:space="preserve">adam-lr0.003</x:t>
        </x:is>
      </x:c>
      <x:c r="C31" s="42" t="n">
        <x:v>0.002252563336577751</x:v>
      </x:c>
      <x:c r="D31" s="42" t="inlineStr">
        <x:is>
          <x:t xml:space="preserve">eval minus val</x:t>
        </x:is>
      </x:c>
      <x:c r="E31" s="42"/>
      <x:c r="F31" s="42"/>
    </x:row>
    <x:row r="32" ht="15" hidden="0" customHeight="1">
      <x:c r="A32" s="41" t="inlineStr">
        <x:is>
          <x:t xml:space="preserve">Init he std after ReLU1/2</x:t>
        </x:is>
      </x:c>
      <x:c r="B32" s="41" t="inlineStr">
        <x:is>
          <x:t xml:space="preserve">base-s1 health</x:t>
        </x:is>
      </x:c>
      <x:c r="C32" s="42" t="n">
        <x:v>0.3904455602169037</x:v>
      </x:c>
      <x:c r="D32" s="42" t="n">
        <x:v>0.3660891950130463</x:v>
      </x:c>
      <x:c r="E32" s="42"/>
      <x:c r="F32" s="42"/>
    </x:row>
    <x:row r="33" ht="15" hidden="0" customHeight="1">
      <x:c r="A33" s="41" t="inlineStr">
        <x:is>
          <x:t xml:space="preserve">Init xavier std after ReLU1/2</x:t>
        </x:is>
      </x:c>
      <x:c r="B33" s="41" t="inlineStr">
        <x:is>
          <x:t xml:space="preserve">base-s1 health</x:t>
        </x:is>
      </x:c>
      <x:c r="C33" s="42" t="n">
        <x:v>0.1629583239555359</x:v>
      </x:c>
      <x:c r="D33" s="42" t="n">
        <x:v>0.1247548162937164</x:v>
      </x:c>
      <x:c r="E33" s="42"/>
      <x:c r="F33" s="42"/>
    </x:row>
    <x:row r="34" ht="15" hidden="0" customHeight="1">
      <x:c r="A34" s="41" t="inlineStr">
        <x:is>
          <x:t xml:space="preserve">Init normal std after ReLU1/2</x:t>
        </x:is>
      </x:c>
      <x:c r="B34" s="41" t="inlineStr">
        <x:is>
          <x:t xml:space="preserve">base-s1 health</x:t>
        </x:is>
      </x:c>
      <x:c r="C34" s="42" t="n">
        <x:v>0.02028814703226089</x:v>
      </x:c>
      <x:c r="D34" s="42" t="n">
        <x:v>0.002152156084775925</x:v>
      </x:c>
      <x:c r="E34" s="42"/>
      <x:c r="F34" s="42"/>
    </x:row>
    <x:row r="35" ht="15" hidden="0" customHeight="1">
      <x:c r="A35" s="41" t="inlineStr">
        <x:is>
          <x:t xml:space="preserve">Init zeros std after ReLU1/2</x:t>
        </x:is>
      </x:c>
      <x:c r="B35" s="41" t="inlineStr">
        <x:is>
          <x:t xml:space="preserve">base-s1 health</x:t>
        </x:is>
      </x:c>
      <x:c r="C35" s="42" t="n">
        <x:v>0</x:v>
      </x:c>
      <x:c r="D35" s="42" t="n">
        <x:v>0</x:v>
      </x:c>
      <x:c r="E35" s="42"/>
      <x:c r="F35" s="42"/>
    </x:row>
    <x:row r="36" ht="15" hidden="0" customHeight="1">
      <x:c r="A36" s="45" t="inlineStr">
        <x:is>
          <x:t xml:space="preserve">Per-class eval: base-s1</x:t>
        </x:is>
      </x:c>
      <x:c r="B36" s="45" t="inlineStr">
        <x:is>
          <x:t xml:space="preserve">class</x:t>
        </x:is>
      </x:c>
      <x:c r="C36" s="46" t="inlineStr">
        <x:is>
          <x:t xml:space="preserve">support</x:t>
        </x:is>
      </x:c>
      <x:c r="D36" s="46" t="inlineStr">
        <x:is>
          <x:t xml:space="preserve">precision</x:t>
        </x:is>
      </x:c>
      <x:c r="E36" s="46" t="inlineStr">
        <x:is>
          <x:t xml:space="preserve">recall</x:t>
        </x:is>
      </x:c>
      <x:c r="F36" s="46" t="inlineStr">
        <x:is>
          <x:t xml:space="preserve">F1</x:t>
        </x:is>
      </x:c>
    </x:row>
    <x:row r="37" ht="15" hidden="0" customHeight="1">
      <x:c r="A37" s="41" t="inlineStr">
        <x:is>
          <x:t xml:space="preserve">base-s1</x:t>
        </x:is>
      </x:c>
      <x:c r="B37" s="41" t="n">
        <x:v>0</x:v>
      </x:c>
      <x:c r="C37" s="42" t="n">
        <x:v>42368</x:v>
      </x:c>
      <x:c r="D37" s="42" t="n">
        <x:v>0.9015601432880844</x:v>
      </x:c>
      <x:c r="E37" s="42" t="n">
        <x:v>0.9029220166163142</x:v>
      </x:c>
      <x:c r="F37" s="42" t="n">
        <x:v>0.9022405660377357</x:v>
      </x:c>
    </x:row>
    <x:row r="38" ht="15" hidden="0" customHeight="1">
      <x:c r="A38" s="41" t="inlineStr">
        <x:is>
          <x:t xml:space="preserve">base-s1</x:t>
        </x:is>
      </x:c>
      <x:c r="B38" s="41" t="n">
        <x:v>1</x:v>
      </x:c>
      <x:c r="C38" s="42" t="n">
        <x:v>56661</x:v>
      </x:c>
      <x:c r="D38" s="42" t="n">
        <x:v>0.9092774970247849</x:v>
      </x:c>
      <x:c r="E38" s="42" t="n">
        <x:v>0.9304283369513422</x:v>
      </x:c>
      <x:c r="F38" s="42" t="n">
        <x:v>0.9197313328681088</x:v>
      </x:c>
    </x:row>
    <x:row r="39" ht="15" hidden="0" customHeight="1">
      <x:c r="A39" s="41" t="inlineStr">
        <x:is>
          <x:t xml:space="preserve">base-s1</x:t>
        </x:is>
      </x:c>
      <x:c r="B39" s="41" t="n">
        <x:v>2</x:v>
      </x:c>
      <x:c r="C39" s="42" t="n">
        <x:v>7151</x:v>
      </x:c>
      <x:c r="D39" s="42" t="n">
        <x:v>0.8972320794889993</x:v>
      </x:c>
      <x:c r="E39" s="42" t="n">
        <x:v>0.8839323171584393</x:v>
      </x:c>
      <x:c r="F39" s="42" t="n">
        <x:v>0.8905325443786982</x:v>
      </x:c>
    </x:row>
    <x:row r="40" ht="15" hidden="0" customHeight="1">
      <x:c r="A40" s="41" t="inlineStr">
        <x:is>
          <x:t xml:space="preserve">base-s1</x:t>
        </x:is>
      </x:c>
      <x:c r="B40" s="41" t="n">
        <x:v>3</x:v>
      </x:c>
      <x:c r="C40" s="42" t="n">
        <x:v>549</x:v>
      </x:c>
      <x:c r="D40" s="42" t="n">
        <x:v>0.7618213660245184</x:v>
      </x:c>
      <x:c r="E40" s="42" t="n">
        <x:v>0.7923497267759563</x:v>
      </x:c>
      <x:c r="F40" s="42" t="n">
        <x:v>0.7767857142857144</x:v>
      </x:c>
    </x:row>
    <x:row r="41" ht="15" hidden="0" customHeight="1">
      <x:c r="A41" s="41" t="inlineStr">
        <x:is>
          <x:t xml:space="preserve">base-s1</x:t>
        </x:is>
      </x:c>
      <x:c r="B41" s="41" t="n">
        <x:v>4</x:v>
      </x:c>
      <x:c r="C41" s="42" t="n">
        <x:v>1899</x:v>
      </x:c>
      <x:c r="D41" s="42" t="n">
        <x:v>0.8161073825503355</x:v>
      </x:c>
      <x:c r="E41" s="42" t="n">
        <x:v>0.640337019483939</x:v>
      </x:c>
      <x:c r="F41" s="42" t="n">
        <x:v>0.7176158158748894</x:v>
      </x:c>
    </x:row>
    <x:row r="42" ht="15" hidden="0" customHeight="1">
      <x:c r="A42" s="41" t="inlineStr">
        <x:is>
          <x:t xml:space="preserve">base-s1</x:t>
        </x:is>
      </x:c>
      <x:c r="B42" s="41" t="n">
        <x:v>5</x:v>
      </x:c>
      <x:c r="C42" s="42" t="n">
        <x:v>3473</x:v>
      </x:c>
      <x:c r="D42" s="42" t="n">
        <x:v>0.8488992661774516</x:v>
      </x:c>
      <x:c r="E42" s="42" t="n">
        <x:v>0.7327958537287648</x:v>
      </x:c>
      <x:c r="F42" s="42" t="n">
        <x:v>0.7865863081440272</x:v>
      </x:c>
    </x:row>
    <x:row r="43" ht="15" hidden="0" customHeight="1">
      <x:c r="A43" s="41" t="inlineStr">
        <x:is>
          <x:t xml:space="preserve">base-s1</x:t>
        </x:is>
      </x:c>
      <x:c r="B43" s="41" t="n">
        <x:v>6</x:v>
      </x:c>
      <x:c r="C43" s="42" t="n">
        <x:v>4102</x:v>
      </x:c>
      <x:c r="D43" s="42" t="n">
        <x:v>0.9436008676789588</x:v>
      </x:c>
      <x:c r="E43" s="42" t="n">
        <x:v>0.8483666504144319</x:v>
      </x:c>
      <x:c r="F43" s="42" t="n">
        <x:v>0.8934531450577664</x:v>
      </x:c>
    </x:row>
    <x:row r="44" ht="15" hidden="0" customHeight="1">
      <x:c r="A44" s="45" t="inlineStr">
        <x:is>
          <x:t xml:space="preserve">Per-class eval: adam-lr0.003</x:t>
        </x:is>
      </x:c>
      <x:c r="B44" s="45" t="inlineStr">
        <x:is>
          <x:t xml:space="preserve">class</x:t>
        </x:is>
      </x:c>
      <x:c r="C44" s="46" t="inlineStr">
        <x:is>
          <x:t xml:space="preserve">support</x:t>
        </x:is>
      </x:c>
      <x:c r="D44" s="46" t="inlineStr">
        <x:is>
          <x:t xml:space="preserve">precision</x:t>
        </x:is>
      </x:c>
      <x:c r="E44" s="46" t="inlineStr">
        <x:is>
          <x:t xml:space="preserve">recall</x:t>
        </x:is>
      </x:c>
      <x:c r="F44" s="46" t="inlineStr">
        <x:is>
          <x:t xml:space="preserve">F1</x:t>
        </x:is>
      </x:c>
    </x:row>
    <x:row r="45" ht="15" hidden="0" customHeight="1">
      <x:c r="A45" s="41" t="inlineStr">
        <x:is>
          <x:t xml:space="preserve">adam-lr0.003</x:t>
        </x:is>
      </x:c>
      <x:c r="B45" s="41" t="n">
        <x:v>0</x:v>
      </x:c>
      <x:c r="C45" s="42" t="n">
        <x:v>42368</x:v>
      </x:c>
      <x:c r="D45" s="42" t="n">
        <x:v>0.9283215921966599</x:v>
      </x:c>
      <x:c r="E45" s="42" t="n">
        <x:v>0.8895392749244713</x:v>
      </x:c>
      <x:c r="F45" s="42" t="n">
        <x:v>0.9085167417978448</x:v>
      </x:c>
    </x:row>
    <x:row r="46" ht="15" hidden="0" customHeight="1">
      <x:c r="A46" s="41" t="inlineStr">
        <x:is>
          <x:t xml:space="preserve">adam-lr0.003</x:t>
        </x:is>
      </x:c>
      <x:c r="B46" s="41" t="n">
        <x:v>1</x:v>
      </x:c>
      <x:c r="C46" s="42" t="n">
        <x:v>56661</x:v>
      </x:c>
      <x:c r="D46" s="42" t="n">
        <x:v>0.9118872319804119</x:v>
      </x:c>
      <x:c r="E46" s="42" t="n">
        <x:v>0.9464887665237112</x:v>
      </x:c>
      <x:c r="F46" s="42" t="n">
        <x:v>0.9288658722460857</x:v>
      </x:c>
    </x:row>
    <x:row r="47" ht="15" hidden="0" customHeight="1">
      <x:c r="A47" s="41" t="inlineStr">
        <x:is>
          <x:t xml:space="preserve">adam-lr0.003</x:t>
        </x:is>
      </x:c>
      <x:c r="B47" s="41" t="n">
        <x:v>2</x:v>
      </x:c>
      <x:c r="C47" s="42" t="n">
        <x:v>7151</x:v>
      </x:c>
      <x:c r="D47" s="42" t="n">
        <x:v>0.9300295857988166</x:v>
      </x:c>
      <x:c r="E47" s="42" t="n">
        <x:v>0.8791777373793875</x:v>
      </x:c>
      <x:c r="F47" s="42" t="n">
        <x:v>0.9038890086981526</x:v>
      </x:c>
    </x:row>
    <x:row r="48" ht="15" hidden="0" customHeight="1">
      <x:c r="A48" s="41" t="inlineStr">
        <x:is>
          <x:t xml:space="preserve">adam-lr0.003</x:t>
        </x:is>
      </x:c>
      <x:c r="B48" s="41" t="n">
        <x:v>3</x:v>
      </x:c>
      <x:c r="C48" s="42" t="n">
        <x:v>549</x:v>
      </x:c>
      <x:c r="D48" s="42" t="n">
        <x:v>0.7149059334298119</x:v>
      </x:c>
      <x:c r="E48" s="42" t="n">
        <x:v>0.8998178506375227</x:v>
      </x:c>
      <x:c r="F48" s="42" t="n">
        <x:v>0.7967741935483871</x:v>
      </x:c>
    </x:row>
    <x:row r="49" ht="15" hidden="0" customHeight="1">
      <x:c r="A49" s="41" t="inlineStr">
        <x:is>
          <x:t xml:space="preserve">adam-lr0.003</x:t>
        </x:is>
      </x:c>
      <x:c r="B49" s="41" t="n">
        <x:v>4</x:v>
      </x:c>
      <x:c r="C49" s="42" t="n">
        <x:v>1899</x:v>
      </x:c>
      <x:c r="D49" s="42" t="n">
        <x:v>0.8296795952782462</x:v>
      </x:c>
      <x:c r="E49" s="42" t="n">
        <x:v>0.7772511848341233</x:v>
      </x:c>
      <x:c r="F49" s="42" t="n">
        <x:v>0.8026101141924958</x:v>
      </x:c>
    </x:row>
    <x:row r="50" ht="15" hidden="0" customHeight="1">
      <x:c r="A50" s="41" t="inlineStr">
        <x:is>
          <x:t xml:space="preserve">adam-lr0.003</x:t>
        </x:is>
      </x:c>
      <x:c r="B50" s="41" t="n">
        <x:v>5</x:v>
      </x:c>
      <x:c r="C50" s="42" t="n">
        <x:v>3473</x:v>
      </x:c>
      <x:c r="D50" s="42" t="n">
        <x:v>0.8078282141886383</x:v>
      </x:c>
      <x:c r="E50" s="42" t="n">
        <x:v>0.8557443132738267</x:v>
      </x:c>
      <x:c r="F50" s="42" t="n">
        <x:v>0.831096196868009</x:v>
      </x:c>
    </x:row>
    <x:row r="51" ht="15" hidden="0" customHeight="1">
      <x:c r="A51" s="41" t="inlineStr">
        <x:is>
          <x:t xml:space="preserve">adam-lr0.003</x:t>
        </x:is>
      </x:c>
      <x:c r="B51" s="41" t="n">
        <x:v>6</x:v>
      </x:c>
      <x:c r="C51" s="42" t="n">
        <x:v>4102</x:v>
      </x:c>
      <x:c r="D51" s="42" t="n">
        <x:v>0.9438867438867439</x:v>
      </x:c>
      <x:c r="E51" s="42" t="n">
        <x:v>0.893954168698196</x:v>
      </x:c>
      <x:c r="F51" s="42" t="n">
        <x:v>0.9182421434831601</x:v>
      </x:c>
    </x:row>
    <x:row r="52" ht="15" hidden="0" customHeight="1">
      <x:c r="A52" s="41"/>
      <x:c r="B52" s="41"/>
      <x:c r="C52" s="42"/>
      <x:c r="D52" s="42"/>
      <x:c r="E52" s="42"/>
      <x:c r="F52" s="42"/>
    </x:row>
    <x:row r="53" ht="15" hidden="0" customHeight="1">
      <x:c r="A53" s="41"/>
      <x:c r="B53" s="41"/>
      <x:c r="C53" s="42"/>
      <x:c r="D53" s="42"/>
      <x:c r="E53" s="42"/>
      <x:c r="F53" s="42"/>
    </x:row>
    <x:row r="54" ht="15" hidden="0" customHeight="1">
      <x:c r="A54" s="41"/>
      <x:c r="B54" s="41"/>
      <x:c r="C54" s="42"/>
      <x:c r="D54" s="42"/>
      <x:c r="E54" s="42"/>
      <x:c r="F54" s="42"/>
    </x:row>
    <x:row r="55" ht="15" hidden="0" customHeight="1">
      <x:c r="A55" s="41" t="str">
        <x:v>Health: gradient norm</x:v>
      </x:c>
      <x:c r="B55" s="41" t="str">
        <x:v>base-s1 parameter</x:v>
      </x:c>
      <x:c r="C55" s="42" t="str">
        <x:v>value</x:v>
      </x:c>
      <x:c r="D55" s="42" t="str">
        <x:v>source</x:v>
      </x:c>
      <x:c r="E55" s="42"/>
      <x:c r="F55" s="42"/>
    </x:row>
    <x:row r="56" ht="15" hidden="0" customHeight="1">
      <x:c r="A56" s="41" t="str">
        <x:v>Gradient norm</x:v>
      </x:c>
      <x:c r="B56" s="41" t="str">
        <x:v>net.0.weight</x:v>
      </x:c>
      <x:c r="C56" s="42" t="n">
        <x:v>0.9022008776664734</x:v>
      </x:c>
      <x:c r="D56" s="42" t="str">
        <x:v>health_checks.json</x:v>
      </x:c>
      <x:c r="E56" s="42"/>
      <x:c r="F56" s="42"/>
    </x:row>
    <x:row r="57" ht="15" hidden="0" customHeight="1">
      <x:c r="A57" s="41" t="str">
        <x:v>Gradient norm</x:v>
      </x:c>
      <x:c r="B57" s="41" t="str">
        <x:v>net.0.bias</x:v>
      </x:c>
      <x:c r="C57" s="42" t="n">
        <x:v>0.39315465092658997</x:v>
      </x:c>
      <x:c r="D57" s="42" t="str">
        <x:v>health_checks.json</x:v>
      </x:c>
      <x:c r="E57" s="42"/>
      <x:c r="F57" s="42"/>
    </x:row>
    <x:row r="58" ht="15" hidden="0" customHeight="1">
      <x:c r="A58" s="41" t="str">
        <x:v>Gradient norm</x:v>
      </x:c>
      <x:c r="B58" s="41" t="str">
        <x:v>net.2.weight</x:v>
      </x:c>
      <x:c r="C58" s="42" t="n">
        <x:v>2.77693247795105</x:v>
      </x:c>
      <x:c r="D58" s="42" t="str">
        <x:v>health_checks.json</x:v>
      </x:c>
      <x:c r="E58" s="42"/>
      <x:c r="F58" s="42"/>
    </x:row>
    <x:row r="59" ht="15" hidden="0" customHeight="1">
      <x:c r="A59" s="41" t="str">
        <x:v>Gradient norm</x:v>
      </x:c>
      <x:c r="B59" s="41" t="str">
        <x:v>net.2.bias</x:v>
      </x:c>
      <x:c r="C59" s="42" t="n">
        <x:v>0.5370684862136841</x:v>
      </x:c>
      <x:c r="D59" s="42" t="str">
        <x:v>health_checks.json</x:v>
      </x:c>
      <x:c r="E59" s="42"/>
      <x:c r="F59" s="42"/>
    </x:row>
    <x:row r="60" ht="15" hidden="0" customHeight="1">
      <x:c r="A60" s="41" t="str">
        <x:v>Gradient norm</x:v>
      </x:c>
      <x:c r="B60" s="41" t="str">
        <x:v>net.4.weight</x:v>
      </x:c>
      <x:c r="C60" s="42" t="n">
        <x:v>2.4162042140960693</x:v>
      </x:c>
      <x:c r="D60" s="42" t="str">
        <x:v>health_checks.json</x:v>
      </x:c>
      <x:c r="E60" s="42"/>
      <x:c r="F60" s="42"/>
    </x:row>
    <x:row r="61">
      <x:c r="A61" t="str">
        <x:v>Gradient norm</x:v>
      </x:c>
      <x:c r="B61" t="str">
        <x:v>net.4.bias</x:v>
      </x:c>
      <x:c r="C61" s="50" t="n">
        <x:v>0.6395001411437988</x:v>
      </x:c>
      <x:c r="D61" t="str">
        <x:v>health_checks.json</x:v>
      </x:c>
    </x:row>
  </x:sheetData>
  <x:pageMargins left="0.7" right="0.7" top="0.75" bottom="0.75" header="0.3" footer="0.3"/>
</x:worksheet>
</file>